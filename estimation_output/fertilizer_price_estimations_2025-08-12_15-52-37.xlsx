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webscraping\estimation_output\"/>
    </mc:Choice>
  </mc:AlternateContent>
  <xr:revisionPtr revIDLastSave="0" documentId="13_ncr:1_{2F956B63-EB91-43DC-A987-C63F47964320}" xr6:coauthVersionLast="47" xr6:coauthVersionMax="47" xr10:uidLastSave="{00000000-0000-0000-0000-000000000000}"/>
  <bookViews>
    <workbookView xWindow="-120" yWindow="-120" windowWidth="29040" windowHeight="15840" xr2:uid="{00000000-000D-0000-FFFF-FFFF00000000}"/>
  </bookViews>
  <sheets>
    <sheet name="Fertilizer_Price_Estimations" sheetId="1" r:id="rId1"/>
  </sheets>
  <calcPr calcId="181029"/>
</workbook>
</file>

<file path=xl/calcChain.xml><?xml version="1.0" encoding="utf-8"?>
<calcChain xmlns="http://schemas.openxmlformats.org/spreadsheetml/2006/main">
  <c r="G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1" i="1"/>
</calcChain>
</file>

<file path=xl/sharedStrings.xml><?xml version="1.0" encoding="utf-8"?>
<sst xmlns="http://schemas.openxmlformats.org/spreadsheetml/2006/main" count="325" uniqueCount="313">
  <si>
    <t>code</t>
  </si>
  <si>
    <t>name</t>
  </si>
  <si>
    <t>med</t>
  </si>
  <si>
    <t>min</t>
  </si>
  <si>
    <t>max</t>
  </si>
  <si>
    <t>std</t>
  </si>
  <si>
    <t>listOfPrices</t>
  </si>
  <si>
    <t>listOfNames</t>
  </si>
  <si>
    <t>17-111</t>
  </si>
  <si>
    <t>20 20 20</t>
  </si>
  <si>
    <t>[120000.0, 180000.0, 204680.0, 250000.0, 280000.0, 300000.0, 325000.0, 330000.0, 350000.0, 380000.0, 387000.0, 565000.0, 1490000.0, 1890000.0, 2950000.0, 3250000.0, 3636363.636363636, 3668900.0, 3900000.0, 4890000.0, 5833333.333333334, 6300000.0]</t>
  </si>
  <si>
    <t>['کود NPK 20-20-20 (10کیلو)', 'کود سه بیست (20-20-20 NPK) - 10کیلوگرم', 'کود NPK کامل 20-20-20 به همراه ریزمغذی ها (بسیار با کیفیت) 10 کیلویی', 'مشخصات کلی کود سه بیست فالکون – حجم 10 کیلوگرم نام محصول: کود سه بیست فالکونحجم / وزن: 10 کیلوگرمنوع محصول: کود کامل شیمیاییترکیب اصلی: ازت (20٪) فسفر (20٪) پتاسیم (20٪)', 'کود سه بیست ( 20-20-20 ) شوک 1 لیتری NPK', 'کود سه 20 مایع تری پرو فارمونتی NPK 20 20 20+TE - 10 لیتری', 'کود کامل 20-20-20 زایز انگلستان 5 کیلوگرمی', 'کود کامل ردفر شرکت فرتین اگرو اسپانیا مدل NPK 20-20-20 +TE وزن 25 کیلوگرم', 'کود تقویتی NPK 20-20-20+ME پودر SOLUNEC سولونک ترکیه 25 کیلوگرم کیسه', 'کود کامل 202020 حاصلخیز 5 کیلو گرمی با فناوری XGREEN', 'ماکرو کامل 20/20/20', 'ماکرو کامل20/20/20', 'کود NPK 20 20 20 ده کیلویی گهرزا', 'کود مایع روتی فرت کود مدل NPK 20-20-20 حجم یک لیتر ( پس کرایه )', 'کود NPK سه بیست 20/20/20+TE', 'کود کامل سه بیست 20-20-20 مش بلژیک', 'کود تقویتی مخصوص گیاهان آپارتمانی NPK 20-20-20', 'کود npkپودری 202020 گوما یونان کیسه ده کیلوگرمی کود کامل اصل', 'کود پودری کامل NPK 20-20-20 + TE(یک کیلویی)', 'کود 20 20 20 NPK باواریا', 'کود NPK20 20 20', 'کود سه بیست دکتر مدل 20-20-20 Dr-NPK وزن 100 گرم']</t>
  </si>
  <si>
    <t>17-112</t>
  </si>
  <si>
    <t>12 12 36</t>
  </si>
  <si>
    <t>[216720.0, 220000.0, 250000.0]</t>
  </si>
  <si>
    <t>['کود NPK کامل 12-12-36 به همراه عناصر ریزمغذی کلاته شده 10 کیلویی (بسیار با کیفیت)', 'کود تقویتی NPK پودری 12-12-36 + TE ملی شیمی کشاورز 10 کیلوگرم کیسه',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t>
  </si>
  <si>
    <t>17-113</t>
  </si>
  <si>
    <t>10 52 10</t>
  </si>
  <si>
    <t>[154800.0, 249480.0, 280000.0, 410000.0, 624000.0, 676000.0, 1200000.0, 2750000.0, 3000000.0, 3150000.0, 3960000.0, 4333333.333333334]</t>
  </si>
  <si>
    <t>['کود کامل (NPK) 10-52-10 وپروفرت 2 10 و 25 کیلویی', 'کود NPK کامل 10-52-10 حاوی عناصرریز مغذی کلاته شده 10 کیلویی (بسیار با کیفیت)', 'کود فسفر بالا NPK 10-52-10 نوبل 10 کیلوگرم', 'کود تقویتی NPK10-52-10+ME پودر SOLUNEC سولونک ترکیه 25 کیلوگرم کیسه', 'ماکرو کامل 10/52/10', 'ماکرو کامل 10/52/10', '10.52.10 NPK تی ای پلاس کود ریشه زایی قوی', 'کود فله ای 105210 npk. ..', 'کود نانو کود کامل NPK10-52-10+TE میکرولایز', 'کود NPK 10 52 10 وُپروفرت دو کیلویی', 'کود 10 52 10 NPK زیگلر آلمان', 'کود کاملNpk فسفربالاریشه زا پودری 10-52-10 بسته 150 گرمی مدل نوین کشت']</t>
  </si>
  <si>
    <t>17-116</t>
  </si>
  <si>
    <t>15 5 30</t>
  </si>
  <si>
    <t>[50030000.0]</t>
  </si>
  <si>
    <t>['کود NPK 15 5 30 زیگلر']</t>
  </si>
  <si>
    <t>17-119</t>
  </si>
  <si>
    <t>15 8 15</t>
  </si>
  <si>
    <t>[189200.0]</t>
  </si>
  <si>
    <t>['ماکرو کامل 15/8/15']</t>
  </si>
  <si>
    <t>17-125</t>
  </si>
  <si>
    <t>30 10 10</t>
  </si>
  <si>
    <t>[4760000.0, 6900000.0, 9800000.0]</t>
  </si>
  <si>
    <t>['کود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</si>
  <si>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17-129</t>
  </si>
  <si>
    <t>18 18 18</t>
  </si>
  <si>
    <t>[4890000.0, 6260869.565217391]</t>
  </si>
  <si>
    <t>['کود NPK 18 18 18 باواریا', 'کود هوس پلنت NPK 18-18-18 - کود ایتالیایی گرین گروت - کود رشد گیاه - تقویتی گیاهان آپارتمانی- کود سانسوریا - گلدونه']</t>
  </si>
  <si>
    <t>17-131</t>
  </si>
  <si>
    <t>20 5 10</t>
  </si>
  <si>
    <t>[135168.0]</t>
  </si>
  <si>
    <t>['کود هیومیک دار NPK 20-5-10 هیومولایف 5 کیلوگرم']</t>
  </si>
  <si>
    <t>17-133</t>
  </si>
  <si>
    <t>40 5 5</t>
  </si>
  <si>
    <t>[342500.0]</t>
  </si>
  <si>
    <t>['كود کامل 40-5-5 هورتی گرو 2 کیلویی']</t>
  </si>
  <si>
    <t>17-139</t>
  </si>
  <si>
    <t>19 6 20</t>
  </si>
  <si>
    <t>[4890000.0]</t>
  </si>
  <si>
    <t>['کود NPK 19 6 20 باواریا']</t>
  </si>
  <si>
    <t>11-111</t>
  </si>
  <si>
    <t>اوره</t>
  </si>
  <si>
    <t>[34000.0, 45000.0, 68000.0, 70000.0, 116000.0, 175000.0, 191000.0, 280000.0, 355000.0, 392000.0, 1000000.0, 1390000.0, 2200000.0, 2300000.0]</t>
  </si>
  <si>
    <t>['اوره گوگردی', 'کود شیمیایی اوره گرانول 46 درصد 1 کیلوگرم', 'کود ترن 46 (اوره 46%) اگری ترن کیسه 25 کیلویی', 'قیمت کود شیمیایی یا اوره 2 کیلویی', 'اوره با پوشش گوگردی', 'کود مایع اوره فسفات طلایه سبزکاوشان 20 لیتری', 'کود اوره فسفات (NP 18-44) فلوریش 10 کیلو', 'اوره فسفات اگریفرت مکزیک 25 کیلوگرم', 'اوره سولفات', 'اوره با پوشش گوگردی', 'کود اوره گرانوله دوکیلویی', 'کود اوره گرین پیک مدل UREA 1000 وزن یک کیلوگرم', 'کود اوره فسفات 44 درصد فلوریش (پس کرایه)', 'کود اوره فسفات']</t>
  </si>
  <si>
    <t>11-115</t>
  </si>
  <si>
    <t>سولفات آمونیوم</t>
  </si>
  <si>
    <t>[44250.0, 44800.0, 68000.0, 98000.0, 106000.0, 111000.0]</t>
  </si>
  <si>
    <t>['سولفات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</si>
  <si>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11-116</t>
  </si>
  <si>
    <t>اوره با پوشش گوگردی</t>
  </si>
  <si>
    <t>[116000.0, 392000.0]</t>
  </si>
  <si>
    <t>['اوره با پوشش گوگردی', 'اوره با پوشش گوگردی']</t>
  </si>
  <si>
    <t>11-119</t>
  </si>
  <si>
    <t xml:space="preserve"> فسفات آمونیوم</t>
  </si>
  <si>
    <t>[180000.0, 181600.0, 222000.0, 224000.0, 300000.0, 308000.0, 399500.0, 470000.0]</t>
  </si>
  <si>
    <t>['کود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t>
  </si>
  <si>
    <t>11-120</t>
  </si>
  <si>
    <t>نیترات کلسیم</t>
  </si>
  <si>
    <t>[4400.0, 6000.0, 92500.0, 111800.0, 150000.0, 150000.0, 172800.0, 190000.0, 285000.0, 2190000.0]</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</si>
  <si>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تقویتی نیترات کلسیم K+S آلمان پودر 25 کیلوگرم کیسه', 'نیترات کلسیم وارداتی گرانول مولتی کم – 50 کیلوگرم', 'کود نیترات کلسیم کوآلی مکس 25 کیلویی', 'نیترات کلسیم', 'کود نیترات کلسیم وانوما گرانوله 1 کیلویی', 'کود نیترات کلسیم گرین پیک مدل CALSIUM NITRATE 1000 وزن یک کیلوگرم']</t>
  </si>
  <si>
    <t>11-121</t>
  </si>
  <si>
    <t>نیترات پتاسیم</t>
  </si>
  <si>
    <t>[200000.0, 258800.0, 273000.0, 298000.0, 1300000.0]</t>
  </si>
  <si>
    <t>['12-2-44 آرکا نیترات پتاسیم چینی 10 کیلویی',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'نیترات پتاسیم']</t>
  </si>
  <si>
    <t>12-111</t>
  </si>
  <si>
    <t>اوره فسفات</t>
  </si>
  <si>
    <t>[175000.0, 191000.0, 280000.0, 2200000.0, 2300000.0, 2380000.0]</t>
  </si>
  <si>
    <t>['کود مایع اوره فسفات طلایه سبزکاوشان 20 لیتری', 'کود اوره فسفات (NP 18-44) فلوریش 10 کیلو', 'اوره فسفات اگریفرت مکزیک 25 کیلوگرم', 'کود اوره فسفات 44 درصد فلوریش (پس کرایه)', 'کود اوره فسفات', 'کود اوره فسفات زیگلر']</t>
  </si>
  <si>
    <t>12-112</t>
  </si>
  <si>
    <t>مونو فسفات پتاسیم</t>
  </si>
  <si>
    <t>[5400.0, 83500.0, 100000.0, 210000.0, 300000.0, 412500.0, 2280000.0, 3960000.0, 4130000.0]</t>
  </si>
  <si>
    <t>['مونو پتاسیم فسفات 25 کیلوگرم', 'کود مونو پتاسیم فسفات وپروفرت هلند 10 کیلویی', 'مونو پتاسیم فسفات', 'کود مونو پتاسیم فسفات(MKP) گرین پیک وزن 10 کیلوگرم', 'مونو پتاسیم فسفات چینی 25 کیلوگرم | Monopotassium phosphate', 'کود تقویت ریشه گل و افزایش حجم و وزن محصول مونو پتاسیم فسفات وپروفرت هلند 2 کیلویی', 'کود مونو پتاسیم فسفات روکا (پس کرایه)', 'کود مونو پتاسیم فسفات زیگلر', 'کود مونو پتاسیم فسفات (34 52 0) کوالی مکس']</t>
  </si>
  <si>
    <t>12-114</t>
  </si>
  <si>
    <t>فسفیت پتاسیم</t>
  </si>
  <si>
    <t>[780000.0, 782800.0, 897000.0, 972000.0, 1160000.0, 1411000.0, 5300000.0, 7000000.0, 7100000.0, 10576923.076923076]</t>
  </si>
  <si>
    <t>['فسفیت پتاسیم (کوئین) سبزگل 1 لیتری', 'فسفیت پتاسیم اسپانیا 1 لیتری آرتاگرو', 'کود فسفیت پتاسیم (فوس وید ) سوپر مکس 1 لیتر', 'کود فسفیت پتاسیم (پروتکت) ردسا 1 لیتری', 'کود فسفیت پتاسیم وانوما 1 لیتری', 'فسفیت پتاسیم زایز 1 لیتری', 'کود فسفیت.پتاسیم تحت لیسانس اگروناترینتز دل نورته مکزیک', 'کود فسفیت پتاسیم کینگ گلد ایکس گرین', 'کود نونامیک K-CU فسفیت پتاسیم مایع(پس کرایه)', 'کود فسفیمکس(فسفیت پتاسیم) 20-30 یک لیتری']</t>
  </si>
  <si>
    <t>12-121</t>
  </si>
  <si>
    <t xml:space="preserve"> سوپر فسفات ساده</t>
  </si>
  <si>
    <t>[116000.0, 152000.0, 400000.0]</t>
  </si>
  <si>
    <t>['سوپر فسفات ساده', 'سوپر فسفات ساده', 'کود سوپر فسفات ساده']</t>
  </si>
  <si>
    <t>12-122</t>
  </si>
  <si>
    <t>مونو آمونیوم فسفات</t>
  </si>
  <si>
    <t>[180000.0, 222000.0, 300000.0, 308000.0, 399500.0]</t>
  </si>
  <si>
    <t>['کود مونو آمونیوم فسفات 25 کیلویی', 'کود مونو آمونیوم فسفات 0-61-12 فرمولایف 10 کیلو',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t>
  </si>
  <si>
    <t>12-124</t>
  </si>
  <si>
    <t>فسفات گوگردی</t>
  </si>
  <si>
    <t>[17000.0, 170000.0]</t>
  </si>
  <si>
    <t>['فسفات گوگردی', 'فسفات گوگردی']</t>
  </si>
  <si>
    <t>13-111</t>
  </si>
  <si>
    <t>سولفات پتاسیم</t>
  </si>
  <si>
    <t>[1500.0, 3000.0, 14000.0, 69200.0, 72000.0, 95000.0, 105000.0, 142000.0, 150000.0, 168000.0, 183600.0, 185000.0, 290000.0, 1600000.0, 1767500.0, 1992000.0, 2000000.0]</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</si>
  <si>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پودری تایوانی مولتی کم – 25 کیلوگرم', 'کود سولفات پتاسیم 52 کوآلی مکس 10 کیلویی', 'کود تقویتی سولفات پتاسیم K+S آلمان پودر 25 کیلوگرم کیسه', 'کود سولفات پتاسیم اگریتو 1 کیلویی', 'کود سولفات پتاسیم (سولوپتاس) زعیم حجم یک کیلوگرم', 'کود مخلوط آهن و پتاسیم سولفات غنی شده', 'کود سولفات پتاسیم وانوما اصلاح کننده خاک شور و قلیایی ده کیلویی', 'کود فله ای سولوپتاس(سولفات پتاسیم )0.0.52 گما اسپانیا...']</t>
  </si>
  <si>
    <t>13-113</t>
  </si>
  <si>
    <t>مونو پتاسیم فسفات</t>
  </si>
  <si>
    <t>13-114</t>
  </si>
  <si>
    <t>پتاسیم نیترات</t>
  </si>
  <si>
    <t>13-115</t>
  </si>
  <si>
    <t>پتاسیم منیزیم</t>
  </si>
  <si>
    <t>[142000.0, 518400.0]</t>
  </si>
  <si>
    <t>['سولفات پتاسیم منیزیم 10/4', 'کود پتاسیم منیزیم']</t>
  </si>
  <si>
    <t>13-117</t>
  </si>
  <si>
    <t>پتاسه گرانوله</t>
  </si>
  <si>
    <t>[102000.0]</t>
  </si>
  <si>
    <t>['پتاسه گرانوله30%']</t>
  </si>
  <si>
    <t>13-118</t>
  </si>
  <si>
    <t>کلات پتاسیم</t>
  </si>
  <si>
    <t>[5500000.0]</t>
  </si>
  <si>
    <t>['کود نانو کود کلات پتاسیم میکرولایز']</t>
  </si>
  <si>
    <t>13-119</t>
  </si>
  <si>
    <t xml:space="preserve"> پتاسیم سیلیکات</t>
  </si>
  <si>
    <t>[147000.0, 236000.0, 240000.0, 350000.0, 500000.0, 1750000.0, 2556000.0, 3850000.0, 4000000.0, 4200000.0]</t>
  </si>
  <si>
    <t>['کود سیلیکات پتاسیم 2/5 لیتری آگروفر', 'سیلگارد (سیلیکات پتاسیم) ریحان 5 لیتری', 'سیلیکات پتاسیم(5لیتری)', 'سیلیکات پتاسیم سیترال (1 لیتری)', 'سیلیکات پتاسیم پروسیل (1 لیتری)', 'کود مایع روتی فرت کود مدل سیلیکات پتاسیم حجم یک لیتر( پس کرایه )', 'کود سیلیکات پتاسیم شوک اصل آمریکایی یک لیتری (پس کرایه)', 'کود سیلیکات پتاسیم 25 مایع (سیلیکون25) گیگاس', 'کود سیلیکات پتاسیم شوک(پلاس) نانو یک لیتری', 'کود سیلیکات پتاسیم ضد ورس گندم ضد سرما و ضد سرما (پس کرایه)']</t>
  </si>
  <si>
    <t>14-111</t>
  </si>
  <si>
    <t>کلسیم نیترات</t>
  </si>
  <si>
    <t>14-112</t>
  </si>
  <si>
    <t>کلات کلسیم</t>
  </si>
  <si>
    <t>[162500.0, 164000.0, 3300000.0, 3300000.0]</t>
  </si>
  <si>
    <t>['کود کلاته کلسیم-بور-روی مایع کلبومکس فارمونتی CalboMax Pharmonti - 20 لیتری', 'کود کلاته کلسیم-بور-روی مایع کلبومکس فارمونتی CalboMax Pharmonti - 10 لیتری', 'کود کلسیم کلات ایکس گرین یک کیلویی', 'کود کلات کلسیم پودری ایکس گرین']</t>
  </si>
  <si>
    <t>14-114</t>
  </si>
  <si>
    <t>آمینو کلسیم</t>
  </si>
  <si>
    <t>[15500000.0]</t>
  </si>
  <si>
    <t>['کود کالمکس گلد (کلسیم و آمینواسید) امکس حجم یک لیتر']</t>
  </si>
  <si>
    <t>14-117</t>
  </si>
  <si>
    <t>کلسیم منیزیم</t>
  </si>
  <si>
    <t>[157500.0, 1050000.0, 11166666.666666668]</t>
  </si>
  <si>
    <t>['کلسیم منیزیم', 'کود کشاورزی کلسیم منیزیم برند زایز Zeiz انگلستان حجم 1 لیتری', 'کود کال مگ (اکتی کلسیم-منیزیم) نواگرو ایتالیا 60 سی سی ( novagro)']</t>
  </si>
  <si>
    <t>15-111</t>
  </si>
  <si>
    <t>سولفات منیزیم</t>
  </si>
  <si>
    <t>[23200.0, 23600.0, 30000.0, 54000.0, 95000.0, 142000.0, 157500.0]</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</si>
  <si>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منیزیم 24% وپروفرت هلند 1 کیلویی', 'سولفات پتاسیم منیزیم 10/4', 'سولفات منیزیم']</t>
  </si>
  <si>
    <t>15-112</t>
  </si>
  <si>
    <t>نیترات منیزیم</t>
  </si>
  <si>
    <t>[2125000.0]</t>
  </si>
  <si>
    <t>['کود نیترات منیزیم کوالی مکس']</t>
  </si>
  <si>
    <t>15-115</t>
  </si>
  <si>
    <t xml:space="preserve"> پتاس منیزیم</t>
  </si>
  <si>
    <t>16-111</t>
  </si>
  <si>
    <t>گوگرد پودری</t>
  </si>
  <si>
    <t>[2200.0, 76000.0, 273000.0]</t>
  </si>
  <si>
    <t>['گوگرد پودری 25 کیلوگرم', 'گوگرد پودری میکرونیزه فلات کالا مدل GPM1K وزن 1 کیلوگرم', 'نیترات پتاسیم و کربن فعال و گوگرد پودری فلات کالا کد NCG1K وزن 1 کیلوگرم مجموعه 3 عددی']</t>
  </si>
  <si>
    <t>16-112</t>
  </si>
  <si>
    <t>گوگرد گرانوله</t>
  </si>
  <si>
    <t>[38000.0, 91000.0]</t>
  </si>
  <si>
    <t>['گوگرد آلی گرانوله', 'گوگرد گرانوله بنتونیت دار 75%']</t>
  </si>
  <si>
    <t>16-114</t>
  </si>
  <si>
    <t>گوگرد مایع</t>
  </si>
  <si>
    <t>[40000.0, 60000.0, 66000.0, 72000.0, 100000.0, 110000.0, 120000.0, 176000.0, 200000.0, 240000.0, 240000.0]</t>
  </si>
  <si>
    <t>['گوگرد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کلسیم دار نیچران 1 و 20 لیتری', 'گوگرد مایع پتاسه 40% گوگر 20% پتاسیم 5 لیتری', 'کود گوگرد مایع لارا استار 20 لیتری', 'گوگرد مایع پتاسه 5 لیتری 5 ستاره ساوه', 'گوگرد مایع پتاسه 1 لیتری 5 ستاره ساوه']</t>
  </si>
  <si>
    <t>16-115</t>
  </si>
  <si>
    <t>گوگرد بنتونیت دار</t>
  </si>
  <si>
    <t>[91000.0]</t>
  </si>
  <si>
    <t>['گوگرد گرانوله بنتونیت دار 75%']</t>
  </si>
  <si>
    <t>18-113</t>
  </si>
  <si>
    <t>چالکود</t>
  </si>
  <si>
    <t>[118800.0, 134000.0, 210000.0, 500000.0, 656084.6560846561]</t>
  </si>
  <si>
    <t>['چالکود فرموکمپلکس همراه با گوگرد و عناصر ریزمغذی 25 کیلوگرم', 'کود تقویتی چالکود نووانات گرانول K+S آلمان 25کیلوگرم کیسه', 'کود چالکود گرانولی 555 آذین کود', 'کود ورمی کمپوست صد در صد خالص بستری مناسب برای گیاهان آپارتمانی چالکود درختان باغات و مزارع یک کیلویی(تضمین کیفیت )', 'کود گرانولی هیومیک و کربن آلی  چالکودمکمل گلدانتقویت خاک باغ یک کیلو']</t>
  </si>
  <si>
    <t>19-112</t>
  </si>
  <si>
    <t>سولفات منگنز</t>
  </si>
  <si>
    <t>[7000.0, 112800.0, 850000.0, 1837000.0]</t>
  </si>
  <si>
    <t>['کود تغذیه\u200cای سولفات منگنز | تولید چین | کیسه 25 کیلویی', 'کود سولفات منگنز کنجاله ساز (25 کیلویی)', 'سولفات منگنز چینی', 'کود سولفات منگنز نان اگری']</t>
  </si>
  <si>
    <t>19-114</t>
  </si>
  <si>
    <t>آهن منگنز روی</t>
  </si>
  <si>
    <t>[7500000.0, 7850000.0]</t>
  </si>
  <si>
    <t>['کود اسپانیایی ریز مغذی سه گانه آهن روی منگنز 1 لیتری', 'کود تریو پلاس ارونتیکا اسپانیا FMZ حاوی آهن  روی و منگنز']</t>
  </si>
  <si>
    <t>19-116</t>
  </si>
  <si>
    <t>سولفات آهن</t>
  </si>
  <si>
    <t>[23200.0, 27600.0, 120000.0, 180000.0, 1767500.0]</t>
  </si>
  <si>
    <t>['کود سولفات آهن کنجاله ساز (25 کیلویی)', 'کود سولفات آهن 25کیلویی کنجاله ساز کیفیت تضمین شده', 'سولفات آهن 17 درصد', 'سولفات آهن 20 درصد', 'کود مخلوط آهن و پتاسیم سولفات غنی شده']</t>
  </si>
  <si>
    <t>19-117</t>
  </si>
  <si>
    <t>کلات آهن</t>
  </si>
  <si>
    <t>[4100000.0, 4333333.333333334, 5500000.0, 5833333.333333334, 7700000.0, 9500000.0, 11000000.0, 12500000.0, 13000000.0, 13333333.333333334, 13900000.0]</t>
  </si>
  <si>
    <t>['کود تقویتی آهن کلاته مایع هپی پلنت مدل EDDHA حجم 60 میلی لیتر', 'کود کلات آهن 60گرمی- مناسب جوانه زنی وافزایش سبزینگی گیاهان-کود آهن پودری-کود گیاهان آپارتمانی-کود کامل گیاه-گلدونه', 'کود آهن کلاته 6 درصد فروگان جنوبگان یک کیلویی', 'کود کلات آهن . مخصوص گیاهان سبز', 'کود آهن فرمولایف (Fe_EDTA 13%) کلات آهن پودری محلولپاش یک کیلوگرمی', 'کود آهن کلات 6درصد اورتو اورتو 3.5 درصد لاین اسپانیا', 'کود کلات آهن پرینوا مکزیک', 'کود آهن کلاته راف میلو انقضا 2028', 'کود کلات آهن نوتریتال اورتو4/8 الترا اسپانیا', 'کود آهنکلات آهنکود آهن پودری', 'کود کلات آهن6درصد متافارم اسپانیا با اورتو-اورتو 5']</t>
  </si>
  <si>
    <t>19-120</t>
  </si>
  <si>
    <t xml:space="preserve"> کلات روی</t>
  </si>
  <si>
    <t>[162500.0, 164000.0, 210000.0, 650000.0, 3580000.0, 6000000.0]</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</si>
  <si>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پودری 20٪ تایمکس 1 کیلوگرم', 'کود کلات روی 15 درصد فلوریش حجم یک کیلوگرم', 'کود کلات روی (EDTA) سانسوی گرین مدل پودری وزن یک کیلوگرم ( پس کرایه)']</t>
  </si>
  <si>
    <t>19-121</t>
  </si>
  <si>
    <t>سولفات روی</t>
  </si>
  <si>
    <t>[139200.0, 245200.0, 342500.0, 430000.0, 640000.0, 640000.0, 4166666.666666667, 4500000.0]</t>
  </si>
  <si>
    <t>['کود سولفات روی کنجاله ساز (25 کیلویی)', 'سولفات روی 20 درصد', 'کود سولفات روی 34% وپروفرت هلند 2 کیلویی', 'سولفات روی پودری 34%', 'سولفات روی گرانوله 22 درصد', 'سولفات روی پودری 22 درصد', 'کود سولفات روی تتاکو مناسب گلدان و باغچه وزن 120 گرم', 'کود سولفات روی هپی پلنت مدل SZN وزن 50 گرم']</t>
  </si>
  <si>
    <t>19-124</t>
  </si>
  <si>
    <t>فسفات روی</t>
  </si>
  <si>
    <t>[111600.0]</t>
  </si>
  <si>
    <t>['کود دی آمونیوم فسفات 4 لیتری (فسفر بالا رویش 2)']</t>
  </si>
  <si>
    <t>19-129</t>
  </si>
  <si>
    <t>کلات بور</t>
  </si>
  <si>
    <t>[162500.0, 164000.0]</t>
  </si>
  <si>
    <t>['کود کلاته کلسیم-بور-روی مایع کلبومکس فارمونتی CalboMax Pharmonti - 20 لیتری', 'کود کلاته کلسیم-بور-روی مایع کلبومکس فارمونتی CalboMax Pharmonti - 10 لیتری']</t>
  </si>
  <si>
    <t>19-131</t>
  </si>
  <si>
    <t xml:space="preserve"> کلات مس</t>
  </si>
  <si>
    <t>[4500000.0]</t>
  </si>
  <si>
    <t>['کود کلات مس یک کیلویی شرکت مهر پاسارگاد']</t>
  </si>
  <si>
    <t>19-132</t>
  </si>
  <si>
    <t>سولفات مس</t>
  </si>
  <si>
    <t>[246000.0, 247000.0, 4960000.0, 5926000.0]</t>
  </si>
  <si>
    <t>['کات کبود (سولفات مس شکری)10کیلو گرم', 'کات کبود (سولفات مس)5 کیلو گرم', 'کود سولفات مس پرینوای مکزیک', 'کود سولفات مس فرمولایف']</t>
  </si>
  <si>
    <t>19-141</t>
  </si>
  <si>
    <t>کلر</t>
  </si>
  <si>
    <t>[540000.0, 560000.0, 660000.0, 990000.0, 7354545.454545454, 7980000.0, 9100000.0]</t>
  </si>
  <si>
    <t>['سم دیکلروس اسپیدارپردیس 1 لیتر', 'سم علف کش اختصاصی ذرت استوکلر سورپاس مایع ملی شیمی کشاورز 1 لیتر کوئکس', 'اکسی کلرور مس 35 درصد پودر وتابل 1کیلوی', 'سم قارچ کش کوپراکسی کلراید اکسی کلرور مس پودر ملی شیمی کشاورز 1 کیلوگرم فویل', 'قارچکش اکسی کلرومس (قارچکش مسی با اثر تماسی و حفاظتی )', 'سم حشره کش تری کلروفن مدل دیپترکس وزن 500 گرم', 'سم اکسی کلرور مس سمیران مدل کوپر اکسی کلراید وزن 100 گرم']</t>
  </si>
  <si>
    <t>19-142</t>
  </si>
  <si>
    <t>میکروکامل</t>
  </si>
  <si>
    <t>[7700000.0]</t>
  </si>
  <si>
    <t>['فروش کود کلاته میکروکامل خضرا پسکرایه']</t>
  </si>
  <si>
    <t>19-143</t>
  </si>
  <si>
    <t>میکرومیکس</t>
  </si>
  <si>
    <t>[93000.0, 125000.0, 440000.0, 850000.0]</t>
  </si>
  <si>
    <t>['کود میکرومیکس 25کیلویی آگروفر', 'میکرومیکس فارهام - 10 کیلویی حاوی عناصر ریزمغذی', 'میکرومیکس 1 کیلوگرمی فلوریش', 'میکرومیکس بازرگان کالا بسته بندی 1 لیتری یک غذای کامل برای گیاهان']</t>
  </si>
  <si>
    <t>19-144</t>
  </si>
  <si>
    <t>سیلیکون</t>
  </si>
  <si>
    <t>[3850000.0, 4800000.0]</t>
  </si>
  <si>
    <t>['کود سیلیکات پتاسیم 25 مایع (سیلیکون25) گیگاس', 'کود نونامیک سیلیکون (سیلیکات پتاسیم مایع) (پس کرایه)']</t>
  </si>
  <si>
    <t>19-145</t>
  </si>
  <si>
    <t>سیلیکات پتاسیم</t>
  </si>
  <si>
    <t>19-147</t>
  </si>
  <si>
    <t>روی نیتروژن</t>
  </si>
  <si>
    <t>[1459000.0]</t>
  </si>
  <si>
    <t>['کود نیتروژن بالا 1-0-40 مناسب رشد رویشی و پهن برگی گیاه مدل hyper Xgreen آمریکایی']</t>
  </si>
  <si>
    <t>19-151</t>
  </si>
  <si>
    <t>میکرو کلاته</t>
  </si>
  <si>
    <t>20-111</t>
  </si>
  <si>
    <t>گاوی</t>
  </si>
  <si>
    <t>[1000000.0]</t>
  </si>
  <si>
    <t>['گل زبان گاوی نیم کیلو قد 15 سانت قطر 10 هر وقت خاک خوشگ شد آ بیاری کنید']</t>
  </si>
  <si>
    <t>20-112</t>
  </si>
  <si>
    <t>مرغی</t>
  </si>
  <si>
    <t>[47500.0, 47500.0, 49900.0, 50000.0, 50000.0, 50000.0, 54950.0, 56000.0, 60000.0, 65000.0, 65280.0, 74950.0, 75200.0, 78672.0, 84250.0, 84850.0, 104280.0, 105000.0, 120000.0]</t>
  </si>
  <si>
    <t>['کود مرغی مایع رستان 5 و 20 لیتری | ارسال فوری', 'کود مایع مرغی کوکیدو (20 لیتری)', 'کود مرغی مایع بیو اگرو 20 لیتری پرهام', 'پلت مرغی', 'کود مایع کامل مایع مرغی-20 لیتری', 'کود مایع مرغی پرونایس (20 لیتری)', 'کود مرغی شوک امریکایی اورجینال 20 لیتری - 2021 میلادی', 'پلت مرغی', 'کود مایع مرغی و ماهی فارهام 20 کیلویی', 'کود مرغی بیومیکس 10 لیتری', 'کود مرغی مایع نیو داتیس آل (NEW DATIS ALL) حجم 5 لیتر', 'کود مرغی شوک امریکایی اورجینال 20 لیتری - 2022 میلادی', 'کود مایع مرغی غنی شده لارا چیکو 20 لیتری', 'کود داتیس فورنوترینت ارگانیک (کود مرغی) 5 لیتر', 'کود مایع مرغی گالن 20 لیتری وارداتی میلتار', 'کود مرغی شوک اصل آمریکایی - 20 لیتری', 'کود مرغی مایع چیکوتی 20 لیتر', 'کود مایع کامل مایع مرغی-4 لیتری', 'مایع مرغی']</t>
  </si>
  <si>
    <t>21-111</t>
  </si>
  <si>
    <t>پلیت مرغی</t>
  </si>
  <si>
    <t>[9100.0, 9100.0, 158800.0]</t>
  </si>
  <si>
    <t>['کود پلیت مرغی 25 کیلوگرمی', 'کود پلیت مرغی زرین مهر کیمیا 25 کیلوگرمی', 'گابری گلدن(پلیت کود مرغی غنی شده)25کیلویی']</t>
  </si>
  <si>
    <t>21-112</t>
  </si>
  <si>
    <t>مرغی مایع</t>
  </si>
  <si>
    <t>[41000.0, 47500.0, 47500.0, 49900.0, 50000.0, 50000.0, 60000.0, 65280.0, 75200.0, 84250.0, 104280.0, 105000.0, 120000.0]</t>
  </si>
  <si>
    <t>['کود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و ماهی فارهام 20 کیلویی', 'کود مرغی مایع نیو داتیس آل (NEW DATIS ALL) حجم 5 لیتر', 'کود مایع مرغی غنی شده لارا چیکو 20 لیتری', 'کود مایع مرغی گالن 20 لیتری وارداتی میلتار', 'کود مرغی مایع چیکوتی 20 لیتر', 'کود مایع کامل مایع مرغی-4 لیتری', 'مایع مرغی']</t>
  </si>
  <si>
    <t>21-113</t>
  </si>
  <si>
    <t>ماهی</t>
  </si>
  <si>
    <t>[52500.0, 55000.0, 60000.0, 80000.0, 80000.0]</t>
  </si>
  <si>
    <t>['کود ماهی مایع رستان 5 و 20 لیتری | کود ارگانیک', 'کود ماهی مایع 20 لیتری تهیه شده از اجزاء و ضایعات ماهی بسیار غنی و مقوی برای کشاورزی درختان میوه و بخصوص پسته', 'کود مایع مرغی و ماهی فارهام 20 کیلویی', 'عصاره کود مرغ و ماهی غنی شده با هیومیک و فولوئیک غلیظ و ژله ای x5 آرگومیکس 20 لیتری', 'کود مایع مرغ و ماهی ویژه زعفران 20 لیتری آرگومیکس']</t>
  </si>
  <si>
    <t>21-115</t>
  </si>
  <si>
    <t>کمپوست</t>
  </si>
  <si>
    <t>[488.2352941176471, 2750.0, 5000.0, 6480.0, 6937.5, 8400.0, 14166.666666666666, 14400.0, 18000.0, 21250.0, 25000.0, 45000.0, 90000.0, 96666.66666666669, 100000.0, 220000.0, 255400.0, 255400.0, 300000.0, 348000.0, 425000.0, 500000.0]</t>
  </si>
  <si>
    <t>['کمپوست ملارد (17 کیلوگرم)', 'کمپوست سلولزی کیسه 60 لیتری', 'ورمی کمپوست فله 2000 کیلویی', 'ورمی کمپوست 25 کیلویی ماگرو', 'کود ورمی کمپوست باغبان - 40 لیتری', 'کمپوست قارچ دکمه ای 20 کیلوگرم', '"کود و کمپوست تقویتی ارگانیک طبیعت شیک - بهترین تغذیه برای گیاهان" - بسته بزرگ 6 کیلو و 500 گرم', 'کود ورمی کمپوست 25 کیلویی گلستان', 'کمپوست آلی سلولزی', 'ورمی کمپوست 4لیتری', '"کود و کمپوست تقویتی ارگانیک طبیعت شیک - بهترین تغذیه برای گیاهان" - بسته کوچک 1 کیلو و 400 گرم', 'کود ورمی کمپوست بهکام وزن 2 کیلوگرم', 'خاک بستر کشت مخلوط پرلیت ورمی کمپوست پیت ماس کوکوپیت', 'ورمی کمپوست زرین خاک (سه کیلویی)', 'ورمی کمپوست زرین خاک (سه کیلویی)', 'کود ورمی کمپوست ورمی کمپوست یک کیلو', 'خاک ورمی کمپوست سایز متوسط 10 لیتری آقای خاک', 'خاک ورمی کمپوست سایز متوسط 10 لیتری سرزمین خاک', 'ورمی کمپوست کود تقویت کننده خاک', 'کود دامی کمپوست شده مناسب برای خاک گیاهان بسته بندی (500گرمی).', 'خاک وکود آماده خاک برگوکمپوست وپرلیت ترکیبی عالی', 'کود ورمی کمپوست صد در صد خالص بستری مناسب برای گیاهان آپارتمانی چالکود درختان باغات و مزارع یک کیلویی(تضمین کیفیت )']</t>
  </si>
  <si>
    <t>21-116</t>
  </si>
  <si>
    <t>ورمی کمپوست</t>
  </si>
  <si>
    <t>[5000.0, 6480.0, 6937.5, 14400.0, 21250.0, 45000.0, 90000.0, 96666.66666666669, 100000.0, 220000.0, 255400.0, 255400.0, 300000.0, 500000.0, 633333.3333333334, 900000.0, 933333.3333333334]</t>
  </si>
  <si>
    <t>['ورمی کمپوست فله 2000 کیلویی', 'ورمی کمپوست 25 کیلویی ماگرو', 'کود ورمی کمپوست باغبان - 40 لیتری', 'کود ورمی کمپوست 25 کیلویی گلستان', 'ورمی کمپوست 4لیتری', 'کود ورمی کمپوست بهکام وزن 2 کیلوگرم', 'خاک بستر کشت مخلوط پرلیت ورمی کمپوست پیت ماس کوکوپیت', 'ورمی کمپوست زرین خاک (سه کیلویی)', 'ورمی کمپوست زرین خاک (سه کیلویی)', 'کود ورمی کمپوست ورمی کمپوست یک کیلو', 'خاک ورمی کمپوست سایز متوسط 10 لیتری آقای خاک', 'خاک ورمی کمپوست سایز متوسط 10 لیتری سرزمین خاک', 'ورمی کمپوست کود تقویت کننده خاک', 'کود ورمی کمپوست صد در صد خالص بستری مناسب برای گیاهان آپارتمانی چالکود درختان باغات و مزارع یک کیلویی(تضمین کیفیت )', 'خاک هلندی (کوکولیت)ترکیب کوکولیت وورمیکمپوست وپرلیت', 'کود ورمی کمپوست بسته 500 گرمی', 'کود ورمی کمپوست (حداقل خرید از غرفه 400 تومن)(هزینه پسکرایه)']</t>
  </si>
  <si>
    <t>21-117</t>
  </si>
  <si>
    <t>کود سبز</t>
  </si>
  <si>
    <t>[4000000.0, 4290000.0, 4333333.333333334, 4500000.0, 5266666.666666667, 5266666.666666667, 5500000.0, 5833333.333333334, 5980000.0, 6700000.0, 6700000.0, 6700000.0, 6700000.0, 6869565.217391305]</t>
  </si>
  <si>
    <t>['کود آلی مایع رویش سبز مخصوص گل های آپارتمانی 120 میلی لیتری تقویتی ضدقارچ', 'کود هیدروپونیک جامد مخصوص انواع سبزیجات کد V1000', 'کود کلات آهن 60گرمی- مناسب جوانه زنی وافزایش سبزینگی گیاهان-کود آهن پودری-کود گیاهان آپارتمانی-کود کامل گیاه-گلدونه', 'کود مایع کامل ارگانیک غنی شده ویژه سبزی کاری مدل OrgaFerti حجم 120 میلی لیتر', 'کود اصلاح کننده خاک آذر سبزینه', 'کود فسفات آذر سبزینه', 'کود جلبک هیومیک بمب انرژی 2 رویش سبزکود ضدتنش', 'کود کلات آهن . مخصوص گیاهان سبز', 'کود آمینو اسید پودری انگبین سبزکاوشان قوطی یک کیلویی', 'کود تقویت ریشه 10-52-10 وزن 100 گرم دشت سبز', 'کود هیومیک اسید و فولیک اسید پودری وزن 100 گرم دشت سبز', 'کود کامل 20-20-20 NPK وزن 100 گرم دشت سبز', 'کود 40-5-5 مخصوص گلدهی وزن 100 گرم دشت سبز', 'کود پتاس آذر سبزینه']</t>
  </si>
  <si>
    <t>21-118</t>
  </si>
  <si>
    <t>اسید هیومیک</t>
  </si>
  <si>
    <t>[37500.0, 43500.0, 58000.0, 65000.0, 65000.0, 66000.0, 70000.0, 75504.0, 82280.0, 88176.0, 90000.0, 101640.0, 105000.0, 110000.0, 116000.0, 120000.0, 147250.0, 150000.0, 150000.0, 179850.0, 190000.0, 194304.0, 200000.0, 218000.0, 220000.0, 228360.0, 229000.0, 229000.0, 230000.0, 231000.0, 243600.0, 249000.0, 249500.0, 270000.0, 274000.0, 274000.0, 275000.0, 280000.0, 300000.0, 327600.0, 400000.0, 439790.0, 450000.0, 450000.0, 498960.0, 513480.0, 612000.0, 620000.0, 660000.0, 730000.0, 766000.0, 920000.0, 1040000.0, 1200000.0, 1250000.0, 1347000.0, 1430000.0, 1520000.0, 2541111.111111111, 2980000.0, 3160000.0, 3333333.333333333, 3400000.0, 3500000.0, 3500000.0]</t>
  </si>
  <si>
    <t>['اسید هیومیک مایع پتاس بالا 5 10 20 لیتری - 5', 'هیومیک اسید مایع 20 لیتری BAMFORD', 'اسید هیومیک', 'اسید هیومیک مایع پتاس بالا 5 10 20 لیتری - 10', 'کود اسید هیومیک مایع گرین پیک حجم 20 لیتر', 'هیومیک اسید مایع 5 لیتری BAMFORD', 'هیومیک اسید رستان حجم 5 لیتر', 'کود مایع هیومیک\u200cاسید نوتری تک 5 لیتر', 'کود هیومیک اسید و فولویک اسید پابرا 5 لیتر', 'کود هیومیک اسید گرانول هیومولایف 25 کیلوگرم', 'هیومیک اسید مایع مدریک 20 لیتری',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هیومیک اسید آوا فرایند وزن 10 کیلوگرم', 'کود هیومیک اسید پابرا 2.5 کیلوگرمی', 'کود هیومیک اسید آوا فرایند وزن 5 کیلوگرم', 'کود اسید هیومیک پودری گرین پیک وزن 25 کیلوگرم', 'اسید هیومیک مایع پلنت چویس آمریکا گالن 10 لیتری | plants choice',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مایع شوک 1 لیتری', 'کود هیومیک اسید غنی شده با جلبک دریا گلگیاهان ارجینال', 'کود پودری اسیدهیومیک ASORIK وزن 1 کیلوگرم', 'هیومیک اسید ابادیس پرک 70 درصد 5 کیلویی هیومیک خالص', 'گابری هیومیک مایع (اسید هیومیک + فولیک)(20لیتری)', 'هیومیک اسید - 1کیلویی روسیه', 'اسید هیومیک پایش سبز 1 کیلویی', 'کود هیومیک اسید پودری هیومولایف 1 کیلوگرم', 'کود هیومیک اسید پودری هوموکسال 95% وزن 1 کیلوگرم', 'کود ماکرو کامل غنی شده با هیومیک اسید 10-10-10', 'کود هیومیک اسید پلنت چویس 1 کیلوگرم', 'کود پودری هیومیک اسید حاصلخیز با فناوری XGREEN - 1 کیلویی', 'کود هیومیک اسید پرک 60% ریشه زای وپروفرت هلند 1 کیلویی', 'کود هیومیک اسید 60% وانوما ریشه زا 1 کیلویی', 'کود مایع آلی حاوی هیومیک اسید GREEN SOUL یک لیتری', 'کود مایع هیومیک اسید سبو سیب وزن 20.5 کیلوگرم',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 'کود چالکود مکمل خاک گیاهان (هیومیک اسید گرانول) حاوی کربن آلی و مواد آلی', 'کود اسید هیومیک پوهوموس آلمانی 1 کیلویی POWHUMUS', 'کود هیومیک اسید مایع تتاکو HUMORE بسته یک لیتری', 'کود تقویتی هیومیک اسید فیلون کی اسپانیا 1 کیلوئی', 'مولتی کود غنی شده با هیومیک اسید بسته سه عددی', 'هیومیک اسید(کودمایع فولویک هیومیک گیاه پایه خاک دانه) 0.5 لیتری', 'کود تقویتی ویژه نهالباغ و گیاهان زینتی 250سی سی جنرال پاور حاوی محرک رشد غنی شده با هیومیک اسید',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t>
  </si>
  <si>
    <t>21-119</t>
  </si>
  <si>
    <t>اسید آمینه</t>
  </si>
  <si>
    <t>[4343750.0, 6443661.971830986, 6900000.0, 6900000.0, 9000000.0, 13000000.0, 13000000.0]</t>
  </si>
  <si>
    <t>['کود تقویتی کالسیو آلفردو اینستا اسپانیا حاوی کلسیم و اسید آمینه یک لیتری', 'میکرو مکس آلفردو اسپانیا (کود ریزمغذی کامل همراه با اسیدآمینه) حجم یک لیتر', 'کود پتوس و اسید آمینه و آهن و مولتی کود کد A01 حجم 120 میلی لیتر بسته 4 عددی', 'کود اسید آمینه هیگروامین برند اکولوژیک تاریم ترکیه (پس کرایه)', 'کود آمینو اسید اسید آمینه. ضد تنش گیاه', 'کود اسید آمینه بهاران پودری', 'کود اسید آمینه نوافول نواگرو ایتالیا 60 سی سی (آمینو اسید و محرک رشد) ( novafol )']</t>
  </si>
  <si>
    <t>21-120</t>
  </si>
  <si>
    <t>فولیک اسید</t>
  </si>
  <si>
    <t>[439790.0, 6700000.0]</t>
  </si>
  <si>
    <t>['گابری هیومیک مایع (اسید هیومیک + فولیک)(20لیتری)', 'کود هیومیک اسید و فولیک اسید پودری وزن 100 گرم دشت سبز']</t>
  </si>
  <si>
    <t>21-121</t>
  </si>
  <si>
    <t>گوگرد آلی</t>
  </si>
  <si>
    <t>[38000.0, 2690000.0]</t>
  </si>
  <si>
    <t>['گوگرد آلی گرانوله', 'کود ارگانیک گوگرد آلی آلمانی کیوسرت']</t>
  </si>
  <si>
    <t>21-122</t>
  </si>
  <si>
    <t>هیومات پتاسیم</t>
  </si>
  <si>
    <t>[3650000.0]</t>
  </si>
  <si>
    <t>['کود سوپر پتاسیم هیومات']</t>
  </si>
  <si>
    <t>22-111</t>
  </si>
  <si>
    <t>جلبک دریایی</t>
  </si>
  <si>
    <t>[850000.0, 899000.0, 950000.0, 1220000.0, 1595000.0, 1920000.0, 2150000.0, 2833333.333333333, 4500000.0, 5450000.0, 6300000.0, 6500000.0, 7500000.0, 8800000.0, 12000000.0, 13000000.0, 15000000.0, 15300000.0, 16666666.666666668, 17000000.0, 17000000.0]</t>
  </si>
  <si>
    <t>['کود تقویتی جلبک دریایی کانن الگ 1000 NOVICHEM مایع 1 لیتر کوئکس', 'خرید اینترنتی کود جلبک دریایی مارمارین 1لیتری از شرکت IFTC', 'کود جلبک دریایی پرو تکت نیچر ارگانیک 1 کیلو', 'کود عصاره جلبک دریایی زایز انگلستان وزن 1 کیلوگرم', 'کود جلبک دریایی آکادین 1 کیلوگرم تولید کانادا', 'کود تقویتی جلبک دریایی گرین مارین اسپانیا 1 کیلوئی', 'خرید اینترنتی کود جلبک دریایی آکادین 1 کیلویی تولید کشور کانادا با ضمانت اصالت کالا', 'کود جلبک دریایی 120 سی سی', 'کود جلبک دریایی سیویکا جنوبگان', 'کود ماکرو( NPK 10-10-10) غنی شده با جلبک دریایی  اسید امینه و ماده الی', 'کود عصاره جلبک دریایی موراسپری تتاکو کیلوگرم', 'کود عصاره جلبک دریایی سیفر استار وارداتی (پس کرایه)', 'کود جلبک دریایی آلگاستیم برند پرینوا مکزیک یک کیلوگرم', 'کود جلبک دریایی مایع پروتکت پلنت 500 میلی لیتر', 'کود جلبک دریایی برند آرمادین کانادایی 100 گرمی', 'کود محرک رشد ارگانیک(جلبک دریایی) کیمیا کود گواشیر', 'کود جلبک دریایی مایع با کیفیت قوی اورجینال ترکیه جلبک دریایی مایع', 'کود جلبک دریایی سی استار F امکس', 'کود جلبک دریایی', 'کود(جلبک دریایی)دکتر یشیل', 'کود سی وید گرومور جلبک دریایی']</t>
  </si>
  <si>
    <t>22-113</t>
  </si>
  <si>
    <t>نیتروزیست</t>
  </si>
  <si>
    <t>[1300000.0]</t>
  </si>
  <si>
    <t>['کود نیتروزیست (پس کرایه)']</t>
  </si>
  <si>
    <t>22-116</t>
  </si>
  <si>
    <t>باکتری تیوباسیلوس</t>
  </si>
  <si>
    <t>[1150000.0]</t>
  </si>
  <si>
    <t>['کود زیستی وغیرشیمیایی بیوسولفور حاوی باکتری تیوباسیلوس']</t>
  </si>
  <si>
    <t>22-125</t>
  </si>
  <si>
    <t>قارچ تریکودرما</t>
  </si>
  <si>
    <t>[19800000.0]</t>
  </si>
  <si>
    <t>['قارچ کش بیولوژیک خاک تریکودرما 50 گرمی']</t>
  </si>
  <si>
    <t>99-111</t>
  </si>
  <si>
    <t>کود بذر مال</t>
  </si>
  <si>
    <t>[9660000.0]</t>
  </si>
  <si>
    <t>['کود بذرمال روی یاراویتا-پس کرایه']</t>
  </si>
  <si>
    <t>99-113</t>
  </si>
  <si>
    <t>ضد شوری</t>
  </si>
  <si>
    <t>[62400.0, 182500.0, 210672.0, 610800.0, 5600000.0]</t>
  </si>
  <si>
    <t>['کود ضد شوری فورنوترینت (Anti Salt) 5 لیتر', 'کود تقویتی اصلاح کننده خاک و ضد شوری پرک سویل PERK SOIL مایع اگریکم AGRIKEM ترکیه 20 لیتر گالن', 'کود ضدشوری فرمولایف مدل دسالت 5 لیتر', 'کود اسید ضد شوری کداسال پریمیوم 5 لیتری', 'کود ضد شوری و اصلاح کننده خاک دسالت (100 سی سی)']</t>
  </si>
  <si>
    <t>99-114</t>
  </si>
  <si>
    <t>ضد تنش</t>
  </si>
  <si>
    <t>[6260869.565217391, 9000000.0, 9166666.666666666, 11666666.666666668]</t>
  </si>
  <si>
    <t>['کود آمینو اسید - ضد تنش ها و آفات و بیماری ها - تقویتی اسید آمینو - کود گیاهان آپارتمانی - کود گرین گروت - کود گلدونه', 'کود آمینو اسید اسید آمینه. ضد تنش گیاه', 'اسید هیومیک ضد تنش ضد شوری اصلاح بافت خاک', 'کود آمینو اسیدکود ویتامینه وضد تنشامینو اسید']</t>
  </si>
  <si>
    <t>99-115</t>
  </si>
  <si>
    <t>اصلاح کننده خاک</t>
  </si>
  <si>
    <t>[1992000.0, 2241379.310344828, 2791666.666666667, 2850000.0, 5200000.0, 5266666.666666667]</t>
  </si>
  <si>
    <t>['کود سولفات پتاسیم وانوما اصلاح کننده خاک شور و قلیایی ده کیلویی', 'کود اصلاح کننده خاک ویتالایزرVitalize حاوی عنصر کربن حجم250cc', 'کود مایع اصلاح کننده اسیدیسیته و رفع سختی آب و خاک کشاورزی ریگولتور یک لیتری(ارسال با باربری و به صورت پس کرایه)', 'کود هیومیک لئو پودری اصلاح کننده خاک یک کیلویی افزایش گلدهی کاهش بیماری', 'هیومیک اسید گرومور آمریکا اصلاح کننده خاک با کیفیت عالی', 'کود اصلاح کننده خاک آذر سبزینه']</t>
  </si>
  <si>
    <t>https://basalam.com/mchavoosh/product/9710554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</si>
</sst>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5" formatCode="_(* #,##0_);_(* \(#,##0\);_(* &quot;-&quot;??_);_(@_)"/>
  </numFmts>
  <fonts count="4" x14ac:knownFonts="1">
    <font>
      <sz val="11"/>
      <color theme="1"/>
      <name val="Calibri"/>
      <family val="2"/>
      <scheme val="minor"/>
    </font>
    <font>
      <b/>
      <sz val="11"/>
      <name val="Calibri"/>
    </font>
    <font>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43" fontId="2" fillId="0" borderId="0" applyFont="0" applyFill="0" applyBorder="0" applyAlignment="0" applyProtection="0"/>
    <xf numFmtId="0" fontId="3"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165" fontId="1" fillId="0" borderId="1" xfId="1" applyNumberFormat="1" applyFont="1" applyBorder="1" applyAlignment="1">
      <alignment horizontal="center" vertical="top"/>
    </xf>
    <xf numFmtId="165" fontId="0" fillId="0" borderId="0" xfId="1" applyNumberFormat="1" applyFont="1"/>
    <xf numFmtId="0" fontId="3" fillId="0" borderId="0" xfId="2"/>
  </cellXfs>
  <cellStyles count="3">
    <cellStyle name="Comma" xfId="1" builtinId="3"/>
    <cellStyle name="Hyperlink" xfId="2"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asalam.com/mchavoosh/product/971055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0"/>
  <sheetViews>
    <sheetView tabSelected="1" workbookViewId="0">
      <selection activeCell="D24" sqref="D24"/>
    </sheetView>
  </sheetViews>
  <sheetFormatPr defaultRowHeight="15" x14ac:dyDescent="0.25"/>
  <cols>
    <col min="2" max="2" width="17" customWidth="1"/>
    <col min="3" max="5" width="14.28515625" style="3" bestFit="1" customWidth="1"/>
  </cols>
  <sheetData>
    <row r="1" spans="1:9" x14ac:dyDescent="0.25">
      <c r="A1" s="1" t="s">
        <v>0</v>
      </c>
      <c r="B1" s="1" t="s">
        <v>1</v>
      </c>
      <c r="C1" s="2" t="s">
        <v>2</v>
      </c>
      <c r="D1" s="2" t="s">
        <v>3</v>
      </c>
      <c r="E1" s="2" t="s">
        <v>4</v>
      </c>
      <c r="F1" s="1" t="s">
        <v>5</v>
      </c>
      <c r="G1" s="1" t="e">
        <f>E:E/C:C</f>
        <v>#VALUE!</v>
      </c>
      <c r="H1" s="1" t="s">
        <v>6</v>
      </c>
      <c r="I1" s="1" t="s">
        <v>7</v>
      </c>
    </row>
    <row r="2" spans="1:9" x14ac:dyDescent="0.25">
      <c r="A2" t="s">
        <v>8</v>
      </c>
      <c r="B2" t="s">
        <v>9</v>
      </c>
      <c r="C2" s="3">
        <v>476000</v>
      </c>
      <c r="D2" s="3">
        <v>120000</v>
      </c>
      <c r="E2" s="3">
        <v>6300000</v>
      </c>
      <c r="F2">
        <v>2042889.6365495881</v>
      </c>
      <c r="G2" s="1">
        <f t="shared" ref="G2:G65" si="0">E:E/C:C</f>
        <v>13.235294117647058</v>
      </c>
      <c r="H2" t="s">
        <v>10</v>
      </c>
      <c r="I2" t="s">
        <v>11</v>
      </c>
    </row>
    <row r="3" spans="1:9" x14ac:dyDescent="0.25">
      <c r="A3" t="s">
        <v>12</v>
      </c>
      <c r="B3" t="s">
        <v>13</v>
      </c>
      <c r="C3" s="3">
        <v>220000</v>
      </c>
      <c r="D3" s="3">
        <v>216720</v>
      </c>
      <c r="E3" s="3">
        <v>250000</v>
      </c>
      <c r="F3">
        <v>18340.8324056825</v>
      </c>
      <c r="G3" s="1">
        <f t="shared" si="0"/>
        <v>1.1363636363636365</v>
      </c>
      <c r="H3" t="s">
        <v>14</v>
      </c>
      <c r="I3" t="s">
        <v>15</v>
      </c>
    </row>
    <row r="4" spans="1:9" x14ac:dyDescent="0.25">
      <c r="A4" t="s">
        <v>16</v>
      </c>
      <c r="B4" t="s">
        <v>17</v>
      </c>
      <c r="C4" s="3">
        <v>938000</v>
      </c>
      <c r="D4" s="3">
        <v>154800</v>
      </c>
      <c r="E4" s="3">
        <v>4333333.333333334</v>
      </c>
      <c r="F4">
        <v>1582662.5268686339</v>
      </c>
      <c r="G4" s="1">
        <f t="shared" si="0"/>
        <v>4.6197583511016349</v>
      </c>
      <c r="H4" t="s">
        <v>18</v>
      </c>
      <c r="I4" t="s">
        <v>19</v>
      </c>
    </row>
    <row r="5" spans="1:9" x14ac:dyDescent="0.25">
      <c r="A5" t="s">
        <v>20</v>
      </c>
      <c r="B5" t="s">
        <v>21</v>
      </c>
      <c r="C5" s="3">
        <v>50030000</v>
      </c>
      <c r="D5" s="3">
        <v>50030000</v>
      </c>
      <c r="E5" s="3">
        <v>50030000</v>
      </c>
      <c r="G5" s="1">
        <f t="shared" si="0"/>
        <v>1</v>
      </c>
      <c r="H5" t="s">
        <v>22</v>
      </c>
      <c r="I5" t="s">
        <v>23</v>
      </c>
    </row>
    <row r="6" spans="1:9" x14ac:dyDescent="0.25">
      <c r="A6" t="s">
        <v>24</v>
      </c>
      <c r="B6" t="s">
        <v>25</v>
      </c>
      <c r="C6" s="3">
        <v>189200</v>
      </c>
      <c r="D6" s="3">
        <v>189200</v>
      </c>
      <c r="E6" s="3">
        <v>189200</v>
      </c>
      <c r="G6" s="1">
        <f t="shared" si="0"/>
        <v>1</v>
      </c>
      <c r="H6" t="s">
        <v>26</v>
      </c>
      <c r="I6" t="s">
        <v>27</v>
      </c>
    </row>
    <row r="7" spans="1:9" x14ac:dyDescent="0.25">
      <c r="A7" t="s">
        <v>28</v>
      </c>
      <c r="B7" t="s">
        <v>29</v>
      </c>
      <c r="C7" s="3">
        <v>6900000</v>
      </c>
      <c r="D7" s="3">
        <v>4760000</v>
      </c>
      <c r="E7" s="3">
        <v>9800000</v>
      </c>
      <c r="F7">
        <v>2529532.2360731699</v>
      </c>
      <c r="G7" s="1">
        <f t="shared" si="0"/>
        <v>1.4202898550724639</v>
      </c>
      <c r="H7" t="s">
        <v>30</v>
      </c>
      <c r="I7" t="s">
        <v>31</v>
      </c>
    </row>
    <row r="8" spans="1:9" x14ac:dyDescent="0.25">
      <c r="A8" t="s">
        <v>32</v>
      </c>
      <c r="B8" t="s">
        <v>33</v>
      </c>
      <c r="C8" s="3">
        <v>5575434.7826086953</v>
      </c>
      <c r="D8" s="3">
        <v>4890000</v>
      </c>
      <c r="E8" s="3">
        <v>6260869.5652173907</v>
      </c>
      <c r="F8">
        <v>969351.16568747105</v>
      </c>
      <c r="G8" s="1">
        <f t="shared" si="0"/>
        <v>1.1229383553632004</v>
      </c>
      <c r="H8" t="s">
        <v>34</v>
      </c>
      <c r="I8" t="s">
        <v>35</v>
      </c>
    </row>
    <row r="9" spans="1:9" x14ac:dyDescent="0.25">
      <c r="A9" t="s">
        <v>36</v>
      </c>
      <c r="B9" t="s">
        <v>37</v>
      </c>
      <c r="C9" s="3">
        <v>135168</v>
      </c>
      <c r="D9" s="3">
        <v>135168</v>
      </c>
      <c r="E9" s="3">
        <v>135168</v>
      </c>
      <c r="G9" s="1">
        <f t="shared" si="0"/>
        <v>1</v>
      </c>
      <c r="H9" t="s">
        <v>38</v>
      </c>
      <c r="I9" t="s">
        <v>39</v>
      </c>
    </row>
    <row r="10" spans="1:9" x14ac:dyDescent="0.25">
      <c r="A10" t="s">
        <v>40</v>
      </c>
      <c r="B10" t="s">
        <v>41</v>
      </c>
      <c r="C10" s="3">
        <v>342500</v>
      </c>
      <c r="D10" s="3">
        <v>342500</v>
      </c>
      <c r="E10" s="3">
        <v>342500</v>
      </c>
      <c r="G10" s="1">
        <f t="shared" si="0"/>
        <v>1</v>
      </c>
      <c r="H10" t="s">
        <v>42</v>
      </c>
      <c r="I10" t="s">
        <v>43</v>
      </c>
    </row>
    <row r="11" spans="1:9" x14ac:dyDescent="0.25">
      <c r="A11" t="s">
        <v>44</v>
      </c>
      <c r="B11" t="s">
        <v>45</v>
      </c>
      <c r="C11" s="3">
        <v>4890000</v>
      </c>
      <c r="D11" s="3">
        <v>4890000</v>
      </c>
      <c r="E11" s="3">
        <v>4890000</v>
      </c>
      <c r="G11" s="1">
        <f t="shared" si="0"/>
        <v>1</v>
      </c>
      <c r="H11" t="s">
        <v>46</v>
      </c>
      <c r="I11" t="s">
        <v>47</v>
      </c>
    </row>
    <row r="12" spans="1:9" x14ac:dyDescent="0.25">
      <c r="A12" t="s">
        <v>48</v>
      </c>
      <c r="B12" t="s">
        <v>49</v>
      </c>
      <c r="C12" s="3">
        <v>235500</v>
      </c>
      <c r="D12" s="3">
        <v>34000</v>
      </c>
      <c r="E12" s="3">
        <v>2300000</v>
      </c>
      <c r="F12">
        <v>794738.63282559416</v>
      </c>
      <c r="G12" s="1">
        <f t="shared" si="0"/>
        <v>9.7664543524416132</v>
      </c>
      <c r="H12" t="s">
        <v>50</v>
      </c>
      <c r="I12" t="s">
        <v>51</v>
      </c>
    </row>
    <row r="13" spans="1:9" x14ac:dyDescent="0.25">
      <c r="A13" t="s">
        <v>52</v>
      </c>
      <c r="B13" t="s">
        <v>53</v>
      </c>
      <c r="C13" s="3">
        <v>83000</v>
      </c>
      <c r="D13" s="3">
        <v>44250</v>
      </c>
      <c r="E13" s="3">
        <v>111000</v>
      </c>
      <c r="F13">
        <v>30369.618864911688</v>
      </c>
      <c r="G13" s="1">
        <f t="shared" si="0"/>
        <v>1.3373493975903614</v>
      </c>
      <c r="H13" t="s">
        <v>54</v>
      </c>
      <c r="I13" t="s">
        <v>55</v>
      </c>
    </row>
    <row r="14" spans="1:9" x14ac:dyDescent="0.25">
      <c r="A14" t="s">
        <v>56</v>
      </c>
      <c r="B14" t="s">
        <v>57</v>
      </c>
      <c r="C14" s="3">
        <v>254000</v>
      </c>
      <c r="D14" s="3">
        <v>116000</v>
      </c>
      <c r="E14" s="3">
        <v>392000</v>
      </c>
      <c r="F14">
        <v>195161.4716074871</v>
      </c>
      <c r="G14" s="1">
        <f t="shared" si="0"/>
        <v>1.5433070866141732</v>
      </c>
      <c r="H14" t="s">
        <v>58</v>
      </c>
      <c r="I14" t="s">
        <v>59</v>
      </c>
    </row>
    <row r="15" spans="1:9" x14ac:dyDescent="0.25">
      <c r="A15" t="s">
        <v>60</v>
      </c>
      <c r="B15" t="s">
        <v>61</v>
      </c>
      <c r="C15" s="3">
        <v>262000</v>
      </c>
      <c r="D15" s="3">
        <v>180000</v>
      </c>
      <c r="E15" s="3">
        <v>470000</v>
      </c>
      <c r="F15">
        <v>105215.8045909182</v>
      </c>
      <c r="G15" s="1">
        <f t="shared" si="0"/>
        <v>1.7938931297709924</v>
      </c>
      <c r="H15" t="s">
        <v>62</v>
      </c>
      <c r="I15" t="s">
        <v>63</v>
      </c>
    </row>
    <row r="16" spans="1:9" x14ac:dyDescent="0.25">
      <c r="A16" t="s">
        <v>64</v>
      </c>
      <c r="B16" t="s">
        <v>65</v>
      </c>
      <c r="C16" s="3">
        <v>150000</v>
      </c>
      <c r="D16" s="3">
        <v>4400</v>
      </c>
      <c r="E16" s="3">
        <v>2190000</v>
      </c>
      <c r="F16">
        <v>657053.19123424939</v>
      </c>
      <c r="G16" s="1">
        <f t="shared" si="0"/>
        <v>14.6</v>
      </c>
      <c r="H16" t="s">
        <v>66</v>
      </c>
      <c r="I16" t="s">
        <v>67</v>
      </c>
    </row>
    <row r="17" spans="1:10" x14ac:dyDescent="0.25">
      <c r="A17" t="s">
        <v>68</v>
      </c>
      <c r="B17" t="s">
        <v>69</v>
      </c>
      <c r="C17" s="3">
        <v>273000</v>
      </c>
      <c r="D17" s="3">
        <v>200000</v>
      </c>
      <c r="E17" s="3">
        <v>1300000</v>
      </c>
      <c r="F17">
        <v>467631.4873915143</v>
      </c>
      <c r="G17" s="1">
        <f t="shared" si="0"/>
        <v>4.7619047619047619</v>
      </c>
      <c r="H17" t="s">
        <v>70</v>
      </c>
      <c r="I17" t="s">
        <v>71</v>
      </c>
    </row>
    <row r="18" spans="1:10" x14ac:dyDescent="0.25">
      <c r="A18" t="s">
        <v>72</v>
      </c>
      <c r="B18" t="s">
        <v>73</v>
      </c>
      <c r="C18" s="3">
        <v>1240000</v>
      </c>
      <c r="D18" s="3">
        <v>175000</v>
      </c>
      <c r="E18" s="3">
        <v>2380000</v>
      </c>
      <c r="F18">
        <v>1140157.2990893261</v>
      </c>
      <c r="G18" s="1">
        <f t="shared" si="0"/>
        <v>1.9193548387096775</v>
      </c>
      <c r="H18" t="s">
        <v>74</v>
      </c>
      <c r="I18" t="s">
        <v>75</v>
      </c>
    </row>
    <row r="19" spans="1:10" x14ac:dyDescent="0.25">
      <c r="A19" t="s">
        <v>76</v>
      </c>
      <c r="B19" t="s">
        <v>77</v>
      </c>
      <c r="C19" s="3">
        <v>300000</v>
      </c>
      <c r="D19" s="3">
        <v>5400</v>
      </c>
      <c r="E19" s="3">
        <v>4130000</v>
      </c>
      <c r="F19">
        <v>1717964.2061495669</v>
      </c>
      <c r="G19" s="1">
        <f t="shared" si="0"/>
        <v>13.766666666666667</v>
      </c>
      <c r="H19" t="s">
        <v>78</v>
      </c>
      <c r="I19" t="s">
        <v>79</v>
      </c>
    </row>
    <row r="20" spans="1:10" x14ac:dyDescent="0.25">
      <c r="A20" t="s">
        <v>80</v>
      </c>
      <c r="B20" t="s">
        <v>81</v>
      </c>
      <c r="C20" s="3">
        <v>1285500</v>
      </c>
      <c r="D20" s="3">
        <v>780000</v>
      </c>
      <c r="E20" s="3">
        <v>10576923.07692308</v>
      </c>
      <c r="F20">
        <v>3593579.8361018598</v>
      </c>
      <c r="G20" s="1">
        <f t="shared" si="0"/>
        <v>8.2278670376686733</v>
      </c>
      <c r="H20" t="s">
        <v>82</v>
      </c>
      <c r="I20" t="s">
        <v>83</v>
      </c>
    </row>
    <row r="21" spans="1:10" x14ac:dyDescent="0.25">
      <c r="A21" t="s">
        <v>84</v>
      </c>
      <c r="B21" t="s">
        <v>85</v>
      </c>
      <c r="C21" s="3">
        <v>152000</v>
      </c>
      <c r="D21" s="3">
        <v>116000</v>
      </c>
      <c r="E21" s="3">
        <v>400000</v>
      </c>
      <c r="F21">
        <v>154626.43154821021</v>
      </c>
      <c r="G21" s="1">
        <f t="shared" si="0"/>
        <v>2.6315789473684212</v>
      </c>
      <c r="H21" t="s">
        <v>86</v>
      </c>
      <c r="I21" t="s">
        <v>87</v>
      </c>
    </row>
    <row r="22" spans="1:10" x14ac:dyDescent="0.25">
      <c r="A22" t="s">
        <v>88</v>
      </c>
      <c r="B22" t="s">
        <v>89</v>
      </c>
      <c r="C22" s="3">
        <v>300000</v>
      </c>
      <c r="D22" s="3">
        <v>180000</v>
      </c>
      <c r="E22" s="3">
        <v>399500</v>
      </c>
      <c r="F22">
        <v>84867.838431292694</v>
      </c>
      <c r="G22" s="1">
        <f t="shared" si="0"/>
        <v>1.3316666666666668</v>
      </c>
      <c r="H22" t="s">
        <v>90</v>
      </c>
      <c r="I22" t="s">
        <v>91</v>
      </c>
    </row>
    <row r="23" spans="1:10" x14ac:dyDescent="0.25">
      <c r="A23" t="s">
        <v>92</v>
      </c>
      <c r="B23" t="s">
        <v>93</v>
      </c>
      <c r="C23" s="3">
        <v>93500</v>
      </c>
      <c r="D23" s="3">
        <v>17000</v>
      </c>
      <c r="E23" s="3">
        <v>170000</v>
      </c>
      <c r="F23">
        <v>108187.33752154181</v>
      </c>
      <c r="G23" s="1">
        <f t="shared" si="0"/>
        <v>1.8181818181818181</v>
      </c>
      <c r="H23" t="s">
        <v>94</v>
      </c>
      <c r="I23" t="s">
        <v>95</v>
      </c>
    </row>
    <row r="24" spans="1:10" x14ac:dyDescent="0.25">
      <c r="A24" t="s">
        <v>96</v>
      </c>
      <c r="B24" t="s">
        <v>97</v>
      </c>
      <c r="C24" s="3">
        <v>150000</v>
      </c>
      <c r="D24" s="3">
        <v>1500</v>
      </c>
      <c r="E24" s="3">
        <v>2000000</v>
      </c>
      <c r="F24">
        <v>762838.44191013498</v>
      </c>
      <c r="G24" s="1">
        <f t="shared" si="0"/>
        <v>13.333333333333334</v>
      </c>
      <c r="H24" t="s">
        <v>98</v>
      </c>
      <c r="I24" t="s">
        <v>99</v>
      </c>
      <c r="J24" s="4" t="s">
        <v>312</v>
      </c>
    </row>
    <row r="25" spans="1:10" x14ac:dyDescent="0.25">
      <c r="A25" t="s">
        <v>100</v>
      </c>
      <c r="B25" t="s">
        <v>101</v>
      </c>
      <c r="C25" s="3">
        <v>300000</v>
      </c>
      <c r="D25" s="3">
        <v>5400</v>
      </c>
      <c r="E25" s="3">
        <v>4130000</v>
      </c>
      <c r="F25">
        <v>1717964.2061495669</v>
      </c>
      <c r="G25" s="1">
        <f t="shared" si="0"/>
        <v>13.766666666666667</v>
      </c>
      <c r="H25" t="s">
        <v>78</v>
      </c>
      <c r="I25" t="s">
        <v>79</v>
      </c>
    </row>
    <row r="26" spans="1:10" x14ac:dyDescent="0.25">
      <c r="A26" t="s">
        <v>102</v>
      </c>
      <c r="B26" t="s">
        <v>103</v>
      </c>
      <c r="C26" s="3">
        <v>273000</v>
      </c>
      <c r="D26" s="3">
        <v>200000</v>
      </c>
      <c r="E26" s="3">
        <v>1300000</v>
      </c>
      <c r="F26">
        <v>467631.4873915143</v>
      </c>
      <c r="G26" s="1">
        <f t="shared" si="0"/>
        <v>4.7619047619047619</v>
      </c>
      <c r="H26" t="s">
        <v>70</v>
      </c>
      <c r="I26" t="s">
        <v>71</v>
      </c>
    </row>
    <row r="27" spans="1:10" x14ac:dyDescent="0.25">
      <c r="A27" t="s">
        <v>104</v>
      </c>
      <c r="B27" t="s">
        <v>105</v>
      </c>
      <c r="C27" s="3">
        <v>330200</v>
      </c>
      <c r="D27" s="3">
        <v>142000</v>
      </c>
      <c r="E27" s="3">
        <v>518400</v>
      </c>
      <c r="F27">
        <v>266154.99243861652</v>
      </c>
      <c r="G27" s="1">
        <f t="shared" si="0"/>
        <v>1.5699576014536645</v>
      </c>
      <c r="H27" t="s">
        <v>106</v>
      </c>
      <c r="I27" t="s">
        <v>107</v>
      </c>
    </row>
    <row r="28" spans="1:10" x14ac:dyDescent="0.25">
      <c r="A28" t="s">
        <v>108</v>
      </c>
      <c r="B28" t="s">
        <v>109</v>
      </c>
      <c r="C28" s="3">
        <v>102000</v>
      </c>
      <c r="D28" s="3">
        <v>102000</v>
      </c>
      <c r="E28" s="3">
        <v>102000</v>
      </c>
      <c r="G28" s="1">
        <f t="shared" si="0"/>
        <v>1</v>
      </c>
      <c r="H28" t="s">
        <v>110</v>
      </c>
      <c r="I28" t="s">
        <v>111</v>
      </c>
    </row>
    <row r="29" spans="1:10" x14ac:dyDescent="0.25">
      <c r="A29" t="s">
        <v>112</v>
      </c>
      <c r="B29" t="s">
        <v>113</v>
      </c>
      <c r="C29" s="3">
        <v>5500000</v>
      </c>
      <c r="D29" s="3">
        <v>5500000</v>
      </c>
      <c r="E29" s="3">
        <v>5500000</v>
      </c>
      <c r="G29" s="1">
        <f t="shared" si="0"/>
        <v>1</v>
      </c>
      <c r="H29" t="s">
        <v>114</v>
      </c>
      <c r="I29" t="s">
        <v>115</v>
      </c>
    </row>
    <row r="30" spans="1:10" x14ac:dyDescent="0.25">
      <c r="A30" t="s">
        <v>116</v>
      </c>
      <c r="B30" t="s">
        <v>117</v>
      </c>
      <c r="C30" s="3">
        <v>1125000</v>
      </c>
      <c r="D30" s="3">
        <v>147000</v>
      </c>
      <c r="E30" s="3">
        <v>4200000</v>
      </c>
      <c r="F30">
        <v>1724922.4427009269</v>
      </c>
      <c r="G30" s="1">
        <f t="shared" si="0"/>
        <v>3.7333333333333334</v>
      </c>
      <c r="H30" t="s">
        <v>118</v>
      </c>
      <c r="I30" t="s">
        <v>119</v>
      </c>
    </row>
    <row r="31" spans="1:10" x14ac:dyDescent="0.25">
      <c r="A31" t="s">
        <v>120</v>
      </c>
      <c r="B31" t="s">
        <v>121</v>
      </c>
      <c r="C31" s="3">
        <v>150000</v>
      </c>
      <c r="D31" s="3">
        <v>4400</v>
      </c>
      <c r="E31" s="3">
        <v>2190000</v>
      </c>
      <c r="F31">
        <v>657053.19123424939</v>
      </c>
      <c r="G31" s="1">
        <f t="shared" si="0"/>
        <v>14.6</v>
      </c>
      <c r="H31" t="s">
        <v>66</v>
      </c>
      <c r="I31" t="s">
        <v>67</v>
      </c>
    </row>
    <row r="32" spans="1:10" x14ac:dyDescent="0.25">
      <c r="A32" t="s">
        <v>122</v>
      </c>
      <c r="B32" t="s">
        <v>123</v>
      </c>
      <c r="C32" s="3">
        <v>1732000</v>
      </c>
      <c r="D32" s="3">
        <v>162500</v>
      </c>
      <c r="E32" s="3">
        <v>3300000</v>
      </c>
      <c r="F32">
        <v>1811003.5604143171</v>
      </c>
      <c r="G32" s="1">
        <f t="shared" si="0"/>
        <v>1.905311778290993</v>
      </c>
      <c r="H32" t="s">
        <v>124</v>
      </c>
      <c r="I32" t="s">
        <v>125</v>
      </c>
    </row>
    <row r="33" spans="1:9" x14ac:dyDescent="0.25">
      <c r="A33" t="s">
        <v>126</v>
      </c>
      <c r="B33" t="s">
        <v>127</v>
      </c>
      <c r="C33" s="3">
        <v>15500000</v>
      </c>
      <c r="D33" s="3">
        <v>15500000</v>
      </c>
      <c r="E33" s="3">
        <v>15500000</v>
      </c>
      <c r="G33" s="1">
        <f t="shared" si="0"/>
        <v>1</v>
      </c>
      <c r="H33" t="s">
        <v>128</v>
      </c>
      <c r="I33" t="s">
        <v>129</v>
      </c>
    </row>
    <row r="34" spans="1:9" x14ac:dyDescent="0.25">
      <c r="A34" t="s">
        <v>130</v>
      </c>
      <c r="B34" t="s">
        <v>131</v>
      </c>
      <c r="C34" s="3">
        <v>1050000</v>
      </c>
      <c r="D34" s="3">
        <v>157500</v>
      </c>
      <c r="E34" s="3">
        <v>11166666.66666667</v>
      </c>
      <c r="F34">
        <v>6114807.8654591832</v>
      </c>
      <c r="G34" s="1">
        <f t="shared" si="0"/>
        <v>10.634920634920638</v>
      </c>
      <c r="H34" t="s">
        <v>132</v>
      </c>
      <c r="I34" t="s">
        <v>133</v>
      </c>
    </row>
    <row r="35" spans="1:9" x14ac:dyDescent="0.25">
      <c r="A35" t="s">
        <v>134</v>
      </c>
      <c r="B35" t="s">
        <v>135</v>
      </c>
      <c r="C35" s="3">
        <v>54000</v>
      </c>
      <c r="D35" s="3">
        <v>23200</v>
      </c>
      <c r="E35" s="3">
        <v>157500</v>
      </c>
      <c r="F35">
        <v>56988.942118708641</v>
      </c>
      <c r="G35" s="1">
        <f t="shared" si="0"/>
        <v>2.9166666666666665</v>
      </c>
      <c r="H35" t="s">
        <v>136</v>
      </c>
      <c r="I35" t="s">
        <v>137</v>
      </c>
    </row>
    <row r="36" spans="1:9" x14ac:dyDescent="0.25">
      <c r="A36" t="s">
        <v>138</v>
      </c>
      <c r="B36" t="s">
        <v>139</v>
      </c>
      <c r="C36" s="3">
        <v>2125000</v>
      </c>
      <c r="D36" s="3">
        <v>2125000</v>
      </c>
      <c r="E36" s="3">
        <v>2125000</v>
      </c>
      <c r="G36" s="1">
        <f t="shared" si="0"/>
        <v>1</v>
      </c>
      <c r="H36" t="s">
        <v>140</v>
      </c>
      <c r="I36" t="s">
        <v>141</v>
      </c>
    </row>
    <row r="37" spans="1:9" x14ac:dyDescent="0.25">
      <c r="A37" t="s">
        <v>142</v>
      </c>
      <c r="B37" t="s">
        <v>143</v>
      </c>
      <c r="C37" s="3">
        <v>330200</v>
      </c>
      <c r="D37" s="3">
        <v>142000</v>
      </c>
      <c r="E37" s="3">
        <v>518400</v>
      </c>
      <c r="F37">
        <v>266154.99243861652</v>
      </c>
      <c r="G37" s="1">
        <f t="shared" si="0"/>
        <v>1.5699576014536645</v>
      </c>
      <c r="H37" t="s">
        <v>106</v>
      </c>
      <c r="I37" t="s">
        <v>107</v>
      </c>
    </row>
    <row r="38" spans="1:9" x14ac:dyDescent="0.25">
      <c r="A38" t="s">
        <v>144</v>
      </c>
      <c r="B38" t="s">
        <v>145</v>
      </c>
      <c r="C38" s="3">
        <v>76000</v>
      </c>
      <c r="D38" s="3">
        <v>2200</v>
      </c>
      <c r="E38" s="3">
        <v>273000</v>
      </c>
      <c r="F38">
        <v>139992.90458210139</v>
      </c>
      <c r="G38" s="1">
        <f t="shared" si="0"/>
        <v>3.5921052631578947</v>
      </c>
      <c r="H38" t="s">
        <v>146</v>
      </c>
      <c r="I38" t="s">
        <v>147</v>
      </c>
    </row>
    <row r="39" spans="1:9" x14ac:dyDescent="0.25">
      <c r="A39" t="s">
        <v>148</v>
      </c>
      <c r="B39" t="s">
        <v>149</v>
      </c>
      <c r="C39" s="3">
        <v>64500</v>
      </c>
      <c r="D39" s="3">
        <v>38000</v>
      </c>
      <c r="E39" s="3">
        <v>91000</v>
      </c>
      <c r="F39">
        <v>37476.659402887017</v>
      </c>
      <c r="G39" s="1">
        <f t="shared" si="0"/>
        <v>1.4108527131782946</v>
      </c>
      <c r="H39" t="s">
        <v>150</v>
      </c>
      <c r="I39" t="s">
        <v>151</v>
      </c>
    </row>
    <row r="40" spans="1:9" x14ac:dyDescent="0.25">
      <c r="A40" t="s">
        <v>152</v>
      </c>
      <c r="B40" t="s">
        <v>153</v>
      </c>
      <c r="C40" s="3">
        <v>110000</v>
      </c>
      <c r="D40" s="3">
        <v>40000</v>
      </c>
      <c r="E40" s="3">
        <v>240000</v>
      </c>
      <c r="F40">
        <v>72851.031065268573</v>
      </c>
      <c r="G40" s="1">
        <f t="shared" si="0"/>
        <v>2.1818181818181817</v>
      </c>
      <c r="H40" t="s">
        <v>154</v>
      </c>
      <c r="I40" t="s">
        <v>155</v>
      </c>
    </row>
    <row r="41" spans="1:9" x14ac:dyDescent="0.25">
      <c r="A41" t="s">
        <v>156</v>
      </c>
      <c r="B41" t="s">
        <v>157</v>
      </c>
      <c r="C41" s="3">
        <v>91000</v>
      </c>
      <c r="D41" s="3">
        <v>91000</v>
      </c>
      <c r="E41" s="3">
        <v>91000</v>
      </c>
      <c r="G41" s="1">
        <f t="shared" si="0"/>
        <v>1</v>
      </c>
      <c r="H41" t="s">
        <v>158</v>
      </c>
      <c r="I41" t="s">
        <v>159</v>
      </c>
    </row>
    <row r="42" spans="1:9" x14ac:dyDescent="0.25">
      <c r="A42" t="s">
        <v>160</v>
      </c>
      <c r="B42" t="s">
        <v>161</v>
      </c>
      <c r="C42" s="3">
        <v>210000</v>
      </c>
      <c r="D42" s="3">
        <v>118800</v>
      </c>
      <c r="E42" s="3">
        <v>656084.65608465613</v>
      </c>
      <c r="F42">
        <v>241070.01576743971</v>
      </c>
      <c r="G42" s="1">
        <f t="shared" si="0"/>
        <v>3.1242126480221719</v>
      </c>
      <c r="H42" t="s">
        <v>162</v>
      </c>
      <c r="I42" t="s">
        <v>163</v>
      </c>
    </row>
    <row r="43" spans="1:9" x14ac:dyDescent="0.25">
      <c r="A43" t="s">
        <v>164</v>
      </c>
      <c r="B43" t="s">
        <v>165</v>
      </c>
      <c r="C43" s="3">
        <v>481400</v>
      </c>
      <c r="D43" s="3">
        <v>7000</v>
      </c>
      <c r="E43" s="3">
        <v>1837000</v>
      </c>
      <c r="F43">
        <v>844651.85727612057</v>
      </c>
      <c r="G43" s="1">
        <f t="shared" si="0"/>
        <v>3.8159534690486083</v>
      </c>
      <c r="H43" t="s">
        <v>166</v>
      </c>
      <c r="I43" t="s">
        <v>167</v>
      </c>
    </row>
    <row r="44" spans="1:9" x14ac:dyDescent="0.25">
      <c r="A44" t="s">
        <v>168</v>
      </c>
      <c r="B44" t="s">
        <v>169</v>
      </c>
      <c r="C44" s="3">
        <v>7675000</v>
      </c>
      <c r="D44" s="3">
        <v>7500000</v>
      </c>
      <c r="E44" s="3">
        <v>7850000</v>
      </c>
      <c r="F44">
        <v>247487.3734152916</v>
      </c>
      <c r="G44" s="1">
        <f t="shared" si="0"/>
        <v>1.0228013029315961</v>
      </c>
      <c r="H44" t="s">
        <v>170</v>
      </c>
      <c r="I44" t="s">
        <v>171</v>
      </c>
    </row>
    <row r="45" spans="1:9" x14ac:dyDescent="0.25">
      <c r="A45" t="s">
        <v>172</v>
      </c>
      <c r="B45" t="s">
        <v>173</v>
      </c>
      <c r="C45" s="3">
        <v>120000</v>
      </c>
      <c r="D45" s="3">
        <v>23200</v>
      </c>
      <c r="E45" s="3">
        <v>1767500</v>
      </c>
      <c r="F45">
        <v>754108.29328419408</v>
      </c>
      <c r="G45" s="1">
        <f t="shared" si="0"/>
        <v>14.729166666666666</v>
      </c>
      <c r="H45" t="s">
        <v>174</v>
      </c>
      <c r="I45" t="s">
        <v>175</v>
      </c>
    </row>
    <row r="46" spans="1:9" x14ac:dyDescent="0.25">
      <c r="A46" t="s">
        <v>176</v>
      </c>
      <c r="B46" t="s">
        <v>177</v>
      </c>
      <c r="C46" s="3">
        <v>9500000</v>
      </c>
      <c r="D46" s="3">
        <v>4100000</v>
      </c>
      <c r="E46" s="3">
        <v>13900000</v>
      </c>
      <c r="F46">
        <v>3805004.6788487141</v>
      </c>
      <c r="G46" s="1">
        <f t="shared" si="0"/>
        <v>1.4631578947368422</v>
      </c>
      <c r="H46" t="s">
        <v>178</v>
      </c>
      <c r="I46" t="s">
        <v>179</v>
      </c>
    </row>
    <row r="47" spans="1:9" x14ac:dyDescent="0.25">
      <c r="A47" t="s">
        <v>180</v>
      </c>
      <c r="B47" t="s">
        <v>181</v>
      </c>
      <c r="C47" s="3">
        <v>430000</v>
      </c>
      <c r="D47" s="3">
        <v>162500</v>
      </c>
      <c r="E47" s="3">
        <v>6000000</v>
      </c>
      <c r="F47">
        <v>2450172.0432791379</v>
      </c>
      <c r="G47" s="1">
        <f t="shared" si="0"/>
        <v>13.953488372093023</v>
      </c>
      <c r="H47" t="s">
        <v>182</v>
      </c>
      <c r="I47" t="s">
        <v>183</v>
      </c>
    </row>
    <row r="48" spans="1:9" x14ac:dyDescent="0.25">
      <c r="A48" t="s">
        <v>184</v>
      </c>
      <c r="B48" t="s">
        <v>185</v>
      </c>
      <c r="C48" s="3">
        <v>535000</v>
      </c>
      <c r="D48" s="3">
        <v>139200</v>
      </c>
      <c r="E48" s="3">
        <v>4500000</v>
      </c>
      <c r="F48">
        <v>1828382.1088200291</v>
      </c>
      <c r="G48" s="1">
        <f t="shared" si="0"/>
        <v>8.4112149532710276</v>
      </c>
      <c r="H48" t="s">
        <v>186</v>
      </c>
      <c r="I48" t="s">
        <v>187</v>
      </c>
    </row>
    <row r="49" spans="1:9" x14ac:dyDescent="0.25">
      <c r="A49" t="s">
        <v>188</v>
      </c>
      <c r="B49" t="s">
        <v>189</v>
      </c>
      <c r="C49" s="3">
        <v>111600</v>
      </c>
      <c r="D49" s="3">
        <v>111600</v>
      </c>
      <c r="E49" s="3">
        <v>111600</v>
      </c>
      <c r="G49" s="1">
        <f t="shared" si="0"/>
        <v>1</v>
      </c>
      <c r="H49" t="s">
        <v>190</v>
      </c>
      <c r="I49" t="s">
        <v>191</v>
      </c>
    </row>
    <row r="50" spans="1:9" x14ac:dyDescent="0.25">
      <c r="A50" t="s">
        <v>192</v>
      </c>
      <c r="B50" t="s">
        <v>193</v>
      </c>
      <c r="C50" s="3">
        <v>163250</v>
      </c>
      <c r="D50" s="3">
        <v>162500</v>
      </c>
      <c r="E50" s="3">
        <v>164000</v>
      </c>
      <c r="F50">
        <v>1060.660171779821</v>
      </c>
      <c r="G50" s="1">
        <f t="shared" si="0"/>
        <v>1.004594180704441</v>
      </c>
      <c r="H50" t="s">
        <v>194</v>
      </c>
      <c r="I50" t="s">
        <v>195</v>
      </c>
    </row>
    <row r="51" spans="1:9" x14ac:dyDescent="0.25">
      <c r="A51" t="s">
        <v>196</v>
      </c>
      <c r="B51" t="s">
        <v>197</v>
      </c>
      <c r="C51" s="3">
        <v>4500000</v>
      </c>
      <c r="D51" s="3">
        <v>4500000</v>
      </c>
      <c r="E51" s="3">
        <v>4500000</v>
      </c>
      <c r="G51" s="1">
        <f t="shared" si="0"/>
        <v>1</v>
      </c>
      <c r="H51" t="s">
        <v>198</v>
      </c>
      <c r="I51" t="s">
        <v>199</v>
      </c>
    </row>
    <row r="52" spans="1:9" x14ac:dyDescent="0.25">
      <c r="A52" t="s">
        <v>200</v>
      </c>
      <c r="B52" t="s">
        <v>201</v>
      </c>
      <c r="C52" s="3">
        <v>2603500</v>
      </c>
      <c r="D52" s="3">
        <v>246000</v>
      </c>
      <c r="E52" s="3">
        <v>5926000</v>
      </c>
      <c r="F52">
        <v>3026008.9639655729</v>
      </c>
      <c r="G52" s="1">
        <f t="shared" si="0"/>
        <v>2.2761666986748605</v>
      </c>
      <c r="H52" t="s">
        <v>202</v>
      </c>
      <c r="I52" t="s">
        <v>203</v>
      </c>
    </row>
    <row r="53" spans="1:9" x14ac:dyDescent="0.25">
      <c r="A53" t="s">
        <v>204</v>
      </c>
      <c r="B53" t="s">
        <v>205</v>
      </c>
      <c r="C53" s="3">
        <v>990000</v>
      </c>
      <c r="D53" s="3">
        <v>540000</v>
      </c>
      <c r="E53" s="3">
        <v>9100000</v>
      </c>
      <c r="F53">
        <v>4021386.1633195071</v>
      </c>
      <c r="G53" s="1">
        <f t="shared" si="0"/>
        <v>9.191919191919192</v>
      </c>
      <c r="H53" t="s">
        <v>206</v>
      </c>
      <c r="I53" t="s">
        <v>207</v>
      </c>
    </row>
    <row r="54" spans="1:9" x14ac:dyDescent="0.25">
      <c r="A54" t="s">
        <v>208</v>
      </c>
      <c r="B54" t="s">
        <v>209</v>
      </c>
      <c r="C54" s="3">
        <v>7700000</v>
      </c>
      <c r="D54" s="3">
        <v>7700000</v>
      </c>
      <c r="E54" s="3">
        <v>7700000</v>
      </c>
      <c r="G54" s="1">
        <f t="shared" si="0"/>
        <v>1</v>
      </c>
      <c r="H54" t="s">
        <v>210</v>
      </c>
      <c r="I54" t="s">
        <v>211</v>
      </c>
    </row>
    <row r="55" spans="1:9" x14ac:dyDescent="0.25">
      <c r="A55" t="s">
        <v>212</v>
      </c>
      <c r="B55" t="s">
        <v>213</v>
      </c>
      <c r="C55" s="3">
        <v>282500</v>
      </c>
      <c r="D55" s="3">
        <v>93000</v>
      </c>
      <c r="E55" s="3">
        <v>850000</v>
      </c>
      <c r="F55">
        <v>352069.12200115848</v>
      </c>
      <c r="G55" s="1">
        <f t="shared" si="0"/>
        <v>3.0088495575221237</v>
      </c>
      <c r="H55" t="s">
        <v>214</v>
      </c>
      <c r="I55" t="s">
        <v>215</v>
      </c>
    </row>
    <row r="56" spans="1:9" x14ac:dyDescent="0.25">
      <c r="A56" t="s">
        <v>216</v>
      </c>
      <c r="B56" t="s">
        <v>217</v>
      </c>
      <c r="C56" s="3">
        <v>4325000</v>
      </c>
      <c r="D56" s="3">
        <v>3850000</v>
      </c>
      <c r="E56" s="3">
        <v>4800000</v>
      </c>
      <c r="F56">
        <v>671751.4421272201</v>
      </c>
      <c r="G56" s="1">
        <f t="shared" si="0"/>
        <v>1.1098265895953756</v>
      </c>
      <c r="H56" t="s">
        <v>218</v>
      </c>
      <c r="I56" t="s">
        <v>219</v>
      </c>
    </row>
    <row r="57" spans="1:9" x14ac:dyDescent="0.25">
      <c r="A57" t="s">
        <v>220</v>
      </c>
      <c r="B57" t="s">
        <v>221</v>
      </c>
      <c r="C57" s="3">
        <v>1125000</v>
      </c>
      <c r="D57" s="3">
        <v>147000</v>
      </c>
      <c r="E57" s="3">
        <v>4200000</v>
      </c>
      <c r="F57">
        <v>1724922.4427009269</v>
      </c>
      <c r="G57" s="1">
        <f t="shared" si="0"/>
        <v>3.7333333333333334</v>
      </c>
      <c r="H57" t="s">
        <v>118</v>
      </c>
      <c r="I57" t="s">
        <v>119</v>
      </c>
    </row>
    <row r="58" spans="1:9" x14ac:dyDescent="0.25">
      <c r="A58" t="s">
        <v>222</v>
      </c>
      <c r="B58" t="s">
        <v>223</v>
      </c>
      <c r="C58" s="3">
        <v>1459000</v>
      </c>
      <c r="D58" s="3">
        <v>1459000</v>
      </c>
      <c r="E58" s="3">
        <v>1459000</v>
      </c>
      <c r="G58" s="1">
        <f t="shared" si="0"/>
        <v>1</v>
      </c>
      <c r="H58" t="s">
        <v>224</v>
      </c>
      <c r="I58" t="s">
        <v>225</v>
      </c>
    </row>
    <row r="59" spans="1:9" x14ac:dyDescent="0.25">
      <c r="A59" t="s">
        <v>226</v>
      </c>
      <c r="B59" t="s">
        <v>227</v>
      </c>
      <c r="C59" s="3">
        <v>7700000</v>
      </c>
      <c r="D59" s="3">
        <v>7700000</v>
      </c>
      <c r="E59" s="3">
        <v>7700000</v>
      </c>
      <c r="G59" s="1">
        <f t="shared" si="0"/>
        <v>1</v>
      </c>
      <c r="H59" t="s">
        <v>210</v>
      </c>
      <c r="I59" t="s">
        <v>211</v>
      </c>
    </row>
    <row r="60" spans="1:9" x14ac:dyDescent="0.25">
      <c r="A60" t="s">
        <v>228</v>
      </c>
      <c r="B60" t="s">
        <v>229</v>
      </c>
      <c r="C60" s="3">
        <v>1000000</v>
      </c>
      <c r="D60" s="3">
        <v>1000000</v>
      </c>
      <c r="E60" s="3">
        <v>1000000</v>
      </c>
      <c r="G60" s="1">
        <f t="shared" si="0"/>
        <v>1</v>
      </c>
      <c r="H60" t="s">
        <v>230</v>
      </c>
      <c r="I60" t="s">
        <v>231</v>
      </c>
    </row>
    <row r="61" spans="1:9" x14ac:dyDescent="0.25">
      <c r="A61" t="s">
        <v>232</v>
      </c>
      <c r="B61" t="s">
        <v>233</v>
      </c>
      <c r="C61" s="3">
        <v>65000</v>
      </c>
      <c r="D61" s="3">
        <v>47500</v>
      </c>
      <c r="E61" s="3">
        <v>120000</v>
      </c>
      <c r="F61">
        <v>21901.80138069237</v>
      </c>
      <c r="G61" s="1">
        <f t="shared" si="0"/>
        <v>1.8461538461538463</v>
      </c>
      <c r="H61" t="s">
        <v>234</v>
      </c>
      <c r="I61" t="s">
        <v>235</v>
      </c>
    </row>
    <row r="62" spans="1:9" x14ac:dyDescent="0.25">
      <c r="A62" t="s">
        <v>236</v>
      </c>
      <c r="B62" t="s">
        <v>237</v>
      </c>
      <c r="C62" s="3">
        <v>9100</v>
      </c>
      <c r="D62" s="3">
        <v>9100</v>
      </c>
      <c r="E62" s="3">
        <v>158800</v>
      </c>
      <c r="F62">
        <v>86429.335297686979</v>
      </c>
      <c r="G62" s="1">
        <f t="shared" si="0"/>
        <v>17.450549450549449</v>
      </c>
      <c r="H62" t="s">
        <v>238</v>
      </c>
      <c r="I62" t="s">
        <v>239</v>
      </c>
    </row>
    <row r="63" spans="1:9" x14ac:dyDescent="0.25">
      <c r="A63" t="s">
        <v>240</v>
      </c>
      <c r="B63" t="s">
        <v>241</v>
      </c>
      <c r="C63" s="3">
        <v>60000</v>
      </c>
      <c r="D63" s="3">
        <v>41000</v>
      </c>
      <c r="E63" s="3">
        <v>120000</v>
      </c>
      <c r="F63">
        <v>26303.006652745211</v>
      </c>
      <c r="G63" s="1">
        <f t="shared" si="0"/>
        <v>2</v>
      </c>
      <c r="H63" t="s">
        <v>242</v>
      </c>
      <c r="I63" t="s">
        <v>243</v>
      </c>
    </row>
    <row r="64" spans="1:9" x14ac:dyDescent="0.25">
      <c r="A64" t="s">
        <v>244</v>
      </c>
      <c r="B64" t="s">
        <v>245</v>
      </c>
      <c r="C64" s="3">
        <v>60000</v>
      </c>
      <c r="D64" s="3">
        <v>52500</v>
      </c>
      <c r="E64" s="3">
        <v>80000</v>
      </c>
      <c r="F64">
        <v>13509.256086106299</v>
      </c>
      <c r="G64" s="1">
        <f t="shared" si="0"/>
        <v>1.3333333333333333</v>
      </c>
      <c r="H64" t="s">
        <v>246</v>
      </c>
      <c r="I64" t="s">
        <v>247</v>
      </c>
    </row>
    <row r="65" spans="1:9" x14ac:dyDescent="0.25">
      <c r="A65" t="s">
        <v>248</v>
      </c>
      <c r="B65" t="s">
        <v>249</v>
      </c>
      <c r="C65" s="3">
        <v>35000</v>
      </c>
      <c r="D65" s="3">
        <v>488.23529411764707</v>
      </c>
      <c r="E65" s="3">
        <v>500000</v>
      </c>
      <c r="F65">
        <v>155260.2935012388</v>
      </c>
      <c r="G65" s="1">
        <f t="shared" si="0"/>
        <v>14.285714285714286</v>
      </c>
      <c r="H65" t="s">
        <v>250</v>
      </c>
      <c r="I65" t="s">
        <v>251</v>
      </c>
    </row>
    <row r="66" spans="1:9" x14ac:dyDescent="0.25">
      <c r="A66" t="s">
        <v>252</v>
      </c>
      <c r="B66" t="s">
        <v>253</v>
      </c>
      <c r="C66" s="3">
        <v>100000</v>
      </c>
      <c r="D66" s="3">
        <v>5000</v>
      </c>
      <c r="E66" s="3">
        <v>933333.33333333337</v>
      </c>
      <c r="F66">
        <v>306306.62104855361</v>
      </c>
      <c r="G66" s="1">
        <f t="shared" ref="G66:G80" si="1">E:E/C:C</f>
        <v>9.3333333333333339</v>
      </c>
      <c r="H66" t="s">
        <v>254</v>
      </c>
      <c r="I66" t="s">
        <v>255</v>
      </c>
    </row>
    <row r="67" spans="1:9" x14ac:dyDescent="0.25">
      <c r="A67" t="s">
        <v>256</v>
      </c>
      <c r="B67" t="s">
        <v>257</v>
      </c>
      <c r="C67" s="3">
        <v>5666666.666666667</v>
      </c>
      <c r="D67" s="3">
        <v>4000000</v>
      </c>
      <c r="E67" s="3">
        <v>6869565.2173913047</v>
      </c>
      <c r="F67">
        <v>1036610.881669253</v>
      </c>
      <c r="G67" s="1">
        <f t="shared" si="1"/>
        <v>1.2122762148337596</v>
      </c>
      <c r="H67" t="s">
        <v>258</v>
      </c>
      <c r="I67" t="s">
        <v>259</v>
      </c>
    </row>
    <row r="68" spans="1:9" x14ac:dyDescent="0.25">
      <c r="A68" t="s">
        <v>260</v>
      </c>
      <c r="B68" t="s">
        <v>261</v>
      </c>
      <c r="C68" s="3">
        <v>249500</v>
      </c>
      <c r="D68" s="3">
        <v>37500</v>
      </c>
      <c r="E68" s="3">
        <v>3500000</v>
      </c>
      <c r="F68">
        <v>957788.01166349789</v>
      </c>
      <c r="G68" s="1">
        <f t="shared" si="1"/>
        <v>14.02805611222445</v>
      </c>
      <c r="H68" t="s">
        <v>262</v>
      </c>
      <c r="I68" t="s">
        <v>263</v>
      </c>
    </row>
    <row r="69" spans="1:9" x14ac:dyDescent="0.25">
      <c r="A69" t="s">
        <v>264</v>
      </c>
      <c r="B69" t="s">
        <v>265</v>
      </c>
      <c r="C69" s="3">
        <v>6900000</v>
      </c>
      <c r="D69" s="3">
        <v>4343750</v>
      </c>
      <c r="E69" s="3">
        <v>13000000</v>
      </c>
      <c r="F69">
        <v>3350916.5064250519</v>
      </c>
      <c r="G69" s="1">
        <f t="shared" si="1"/>
        <v>1.8840579710144927</v>
      </c>
      <c r="H69" t="s">
        <v>266</v>
      </c>
      <c r="I69" t="s">
        <v>267</v>
      </c>
    </row>
    <row r="70" spans="1:9" x14ac:dyDescent="0.25">
      <c r="A70" t="s">
        <v>268</v>
      </c>
      <c r="B70" t="s">
        <v>269</v>
      </c>
      <c r="C70" s="3">
        <v>3569895</v>
      </c>
      <c r="D70" s="3">
        <v>439790</v>
      </c>
      <c r="E70" s="3">
        <v>6700000</v>
      </c>
      <c r="F70">
        <v>4426636.9426518371</v>
      </c>
      <c r="G70" s="1">
        <f t="shared" si="1"/>
        <v>1.8768059004536548</v>
      </c>
      <c r="H70" t="s">
        <v>270</v>
      </c>
      <c r="I70" t="s">
        <v>271</v>
      </c>
    </row>
    <row r="71" spans="1:9" x14ac:dyDescent="0.25">
      <c r="A71" t="s">
        <v>272</v>
      </c>
      <c r="B71" t="s">
        <v>273</v>
      </c>
      <c r="C71" s="3">
        <v>1364000</v>
      </c>
      <c r="D71" s="3">
        <v>38000</v>
      </c>
      <c r="E71" s="3">
        <v>2690000</v>
      </c>
      <c r="F71">
        <v>1875247.1837067241</v>
      </c>
      <c r="G71" s="1">
        <f t="shared" si="1"/>
        <v>1.9721407624633431</v>
      </c>
      <c r="H71" t="s">
        <v>274</v>
      </c>
      <c r="I71" t="s">
        <v>275</v>
      </c>
    </row>
    <row r="72" spans="1:9" x14ac:dyDescent="0.25">
      <c r="A72" t="s">
        <v>276</v>
      </c>
      <c r="B72" t="s">
        <v>277</v>
      </c>
      <c r="C72" s="3">
        <v>3650000</v>
      </c>
      <c r="D72" s="3">
        <v>3650000</v>
      </c>
      <c r="E72" s="3">
        <v>3650000</v>
      </c>
      <c r="G72" s="1">
        <f t="shared" si="1"/>
        <v>1</v>
      </c>
      <c r="H72" t="s">
        <v>278</v>
      </c>
      <c r="I72" t="s">
        <v>279</v>
      </c>
    </row>
    <row r="73" spans="1:9" x14ac:dyDescent="0.25">
      <c r="A73" t="s">
        <v>280</v>
      </c>
      <c r="B73" t="s">
        <v>281</v>
      </c>
      <c r="C73" s="3">
        <v>6300000</v>
      </c>
      <c r="D73" s="3">
        <v>850000</v>
      </c>
      <c r="E73" s="3">
        <v>17000000</v>
      </c>
      <c r="F73">
        <v>6066268.9279613383</v>
      </c>
      <c r="G73" s="1">
        <f t="shared" si="1"/>
        <v>2.6984126984126986</v>
      </c>
      <c r="H73" t="s">
        <v>282</v>
      </c>
      <c r="I73" t="s">
        <v>283</v>
      </c>
    </row>
    <row r="74" spans="1:9" x14ac:dyDescent="0.25">
      <c r="A74" t="s">
        <v>284</v>
      </c>
      <c r="B74" t="s">
        <v>285</v>
      </c>
      <c r="C74" s="3">
        <v>1300000</v>
      </c>
      <c r="D74" s="3">
        <v>1300000</v>
      </c>
      <c r="E74" s="3">
        <v>1300000</v>
      </c>
      <c r="G74" s="1">
        <f t="shared" si="1"/>
        <v>1</v>
      </c>
      <c r="H74" t="s">
        <v>286</v>
      </c>
      <c r="I74" t="s">
        <v>287</v>
      </c>
    </row>
    <row r="75" spans="1:9" x14ac:dyDescent="0.25">
      <c r="A75" t="s">
        <v>288</v>
      </c>
      <c r="B75" t="s">
        <v>289</v>
      </c>
      <c r="C75" s="3">
        <v>1150000</v>
      </c>
      <c r="D75" s="3">
        <v>1150000</v>
      </c>
      <c r="E75" s="3">
        <v>1150000</v>
      </c>
      <c r="G75" s="1">
        <f t="shared" si="1"/>
        <v>1</v>
      </c>
      <c r="H75" t="s">
        <v>290</v>
      </c>
      <c r="I75" t="s">
        <v>291</v>
      </c>
    </row>
    <row r="76" spans="1:9" x14ac:dyDescent="0.25">
      <c r="A76" t="s">
        <v>292</v>
      </c>
      <c r="B76" t="s">
        <v>293</v>
      </c>
      <c r="C76" s="3">
        <v>19800000</v>
      </c>
      <c r="D76" s="3">
        <v>19800000</v>
      </c>
      <c r="E76" s="3">
        <v>19800000</v>
      </c>
      <c r="G76" s="1">
        <f t="shared" si="1"/>
        <v>1</v>
      </c>
      <c r="H76" t="s">
        <v>294</v>
      </c>
      <c r="I76" t="s">
        <v>295</v>
      </c>
    </row>
    <row r="77" spans="1:9" x14ac:dyDescent="0.25">
      <c r="A77" t="s">
        <v>296</v>
      </c>
      <c r="B77" t="s">
        <v>297</v>
      </c>
      <c r="C77" s="3">
        <v>9660000</v>
      </c>
      <c r="D77" s="3">
        <v>9660000</v>
      </c>
      <c r="E77" s="3">
        <v>9660000</v>
      </c>
      <c r="G77" s="1">
        <f t="shared" si="1"/>
        <v>1</v>
      </c>
      <c r="H77" t="s">
        <v>298</v>
      </c>
      <c r="I77" t="s">
        <v>299</v>
      </c>
    </row>
    <row r="78" spans="1:9" x14ac:dyDescent="0.25">
      <c r="A78" t="s">
        <v>300</v>
      </c>
      <c r="B78" t="s">
        <v>301</v>
      </c>
      <c r="C78" s="3">
        <v>210672</v>
      </c>
      <c r="D78" s="3">
        <v>62400</v>
      </c>
      <c r="E78" s="3">
        <v>5600000</v>
      </c>
      <c r="F78">
        <v>2394084.178402422</v>
      </c>
      <c r="G78" s="1">
        <f t="shared" si="1"/>
        <v>26.581605528973949</v>
      </c>
      <c r="H78" t="s">
        <v>302</v>
      </c>
      <c r="I78" t="s">
        <v>303</v>
      </c>
    </row>
    <row r="79" spans="1:9" x14ac:dyDescent="0.25">
      <c r="A79" t="s">
        <v>304</v>
      </c>
      <c r="B79" t="s">
        <v>305</v>
      </c>
      <c r="C79" s="3">
        <v>9083333.3333333321</v>
      </c>
      <c r="D79" s="3">
        <v>6260869.5652173907</v>
      </c>
      <c r="E79" s="3">
        <v>11666666.66666667</v>
      </c>
      <c r="F79">
        <v>2209034.923604832</v>
      </c>
      <c r="G79" s="1">
        <f t="shared" si="1"/>
        <v>1.2844036697247712</v>
      </c>
      <c r="H79" t="s">
        <v>306</v>
      </c>
      <c r="I79" t="s">
        <v>307</v>
      </c>
    </row>
    <row r="80" spans="1:9" x14ac:dyDescent="0.25">
      <c r="A80" t="s">
        <v>308</v>
      </c>
      <c r="B80" t="s">
        <v>309</v>
      </c>
      <c r="C80" s="3">
        <v>2820833.333333333</v>
      </c>
      <c r="D80" s="3">
        <v>1992000</v>
      </c>
      <c r="E80" s="3">
        <v>5266666.666666667</v>
      </c>
      <c r="F80">
        <v>1464330.123667571</v>
      </c>
      <c r="G80" s="1">
        <f t="shared" si="1"/>
        <v>1.8670605612998525</v>
      </c>
      <c r="H80" t="s">
        <v>310</v>
      </c>
      <c r="I80" t="s">
        <v>311</v>
      </c>
    </row>
  </sheetData>
  <hyperlinks>
    <hyperlink ref="J24" r:id="rId1" xr:uid="{7885FFCB-6400-4D5B-95AE-61EC5345FCB5}"/>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2025-08-12T12:22:37Z</dcterms:created>
  <dcterms:modified xsi:type="dcterms:W3CDTF">2025-08-12T12:56:31Z</dcterms:modified>
</cp:coreProperties>
</file>