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D:\webscraping\estimation_output\"/>
    </mc:Choice>
  </mc:AlternateContent>
  <xr:revisionPtr revIDLastSave="0" documentId="13_ncr:1_{C13A824E-087D-469A-B8B0-0E34EDF767D3}" xr6:coauthVersionLast="47" xr6:coauthVersionMax="47" xr10:uidLastSave="{00000000-0000-0000-0000-000000000000}"/>
  <bookViews>
    <workbookView xWindow="-120" yWindow="-120" windowWidth="29040" windowHeight="15840" xr2:uid="{00000000-000D-0000-FFFF-FFFF00000000}"/>
  </bookViews>
  <sheets>
    <sheet name="Fertilizer_Price_Estimations" sheetId="1" r:id="rId1"/>
  </sheets>
  <calcPr calcId="181029"/>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2" i="1"/>
</calcChain>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<sst xmlns="http://schemas.openxmlformats.org/spreadsheetml/2006/main" count="324" uniqueCount="322">
  <si>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</si>
  <si>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</si>
  <si>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</si>
  <si>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</si>
  <si>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</si>
  <si>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</si>
  <si>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</si>
  <si>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</si>
  <si>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</si>
  <si>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</si>
  <si>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</si>
  <si>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</si>
  <si>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</si>
  <si>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</si>
  <si>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</si>
  <si>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</si>
  <si>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</si>
  <si>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</si>
  <si>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</si>
  <si>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</si>
  <si>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</si>
  <si>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</si>
  <si>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</si>
  <si>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</si>
  <si>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</si>
  <si>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</si>
  <si>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</si>
  <si>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</si>
  <si>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</si>
  <si>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</si>
  <si>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</si>
  <si>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</si>
  <si>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</si>
  <si>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</si>
  <si>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</si>
  <si>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</si>
  <si>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</si>
  <si>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</si>
  <si>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</si>
  <si>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</si>
  <si>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</si>
  <si>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</si>
  <si>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</si>
  <si>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</si>
  <si>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</si>
  <si>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</si>
  <si>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</si>
  <si>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</si>
  <si>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</si>
  <si>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</si>
  <si>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</si>
  <si>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</si>
  <si>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</si>
  <si>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</si>
  <si>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</si>
  <si>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</si>
  <si>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</si>
  <si>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</si>
  <si>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</si>
  <si>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</si>
  <si>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</si>
  <si>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</si>
  <si>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</si>
  <si>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</si>
  <si>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</si>
  <si>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</si>
  <si>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</si>
  <si>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</si>
  <si>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</si>
  <si>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</si>
  <si>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</si>
  <si>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</si>
  <si>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</si>
  <si>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</si>
  <si>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</si>
  <si>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</si>
  <si>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</si>
  <si>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</si>
  <si>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</si>
  <si>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</si>
  <si>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</si>
  <si>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</si>
  <si>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</si>
  <si>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</si>
  <si>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</si>
  <si>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</si>
  <si>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</si>
  <si>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</si>
  <si>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</si>
  <si>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</si>
  <si>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</si>
  <si>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</si>
  <si>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</si>
  <si>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</si>
  <si>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</si>
  <si>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</si>
  <si>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</si>
  <si>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</si>
  <si>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</si>
  <si>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</si>
  <si>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</si>
  <si>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</si>
  <si>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</si>
  <si>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</si>
  <si>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 xml:space="preserve"> فسفات آمونیوم</t>
  </si>
  <si>
    <t>نیترات کلسیم</t>
  </si>
  <si>
    <t>نیترات پتاسیم</t>
  </si>
  <si>
    <t>اوره فسفات</t>
  </si>
  <si>
    <t>مونو فسفات پتاسیم</t>
  </si>
  <si>
    <t>فسفات آمونیم</t>
  </si>
  <si>
    <t>فسفیت پتاسیم</t>
  </si>
  <si>
    <t xml:space="preserve"> سوپر فسفات ساده</t>
  </si>
  <si>
    <t>فسفات گوگردی</t>
  </si>
  <si>
    <t>سولفات پتاسیم</t>
  </si>
  <si>
    <t>پتاسیم منیزیم</t>
  </si>
  <si>
    <t>آمینو پتاس</t>
  </si>
  <si>
    <t>پتاسه گرانوله</t>
  </si>
  <si>
    <t xml:space="preserve"> 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</si>
  <si>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</si>
  <si>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</si>
  <si>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</si>
  <si>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</si>
  <si>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</si>
  <si>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</si>
  <si>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</si>
  <si>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</si>
  <si>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</si>
  <si>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</si>
  <si>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</si>
  <si>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</si>
  <si>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 xml:space="preserve"> کلات روی</t>
  </si>
  <si>
    <t>سولفات روی</t>
  </si>
  <si>
    <t xml:space="preserve"> 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</si>
  <si>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</si>
  <si>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</si>
  <si>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</si>
  <si>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</si>
  <si>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</si>
  <si>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</si>
  <si>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</si>
  <si>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</si>
  <si>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</si>
  <si>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</si>
  <si>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</si>
  <si>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</si>
  <si>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</si>
  <si>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</si>
  <si>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</si>
  <si>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</si>
  <si>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</si>
  <si>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</si>
  <si>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</si>
  <si>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</si>
  <si>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</si>
  <si>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</si>
  <si>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 xml:space="preserve"> ریشه زا</t>
  </si>
  <si>
    <t>کلات پتاسیم</t>
  </si>
  <si>
    <t>کلات کلسیم</t>
  </si>
  <si>
    <t>کلات آهن</t>
  </si>
  <si>
    <t>کلر</t>
  </si>
  <si>
    <t>اوره</t>
  </si>
  <si>
    <t>کود سبز</t>
  </si>
  <si>
    <t>کمپوست</t>
  </si>
  <si>
    <t>مرغی</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</si>
  <si>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</si>
  <si>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</si>
  <si>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140505.0, 154800.0, 245900.0, 249480.0, 275000.0, 280000.0, 300000.0, 309000.0, 310000.0, 315000.0, 318541.6666666667, 323100.0, 380000.0, 410000.0, 410000.0, 433333.3333333334, 499000.0, 587500.0, 590000.0, 624000.0, 676000.0, 750000.0, 960000.0, 983333.3333333334, 1000000.0, 1190000.0, 1316666.6666666667]</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</si>
  <si>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</si>
  <si>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</si>
  <si>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</si>
  <si>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</si>
  <si>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</si>
  <si>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</si>
  <si>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</si>
  <si>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</si>
  <si>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</si>
  <si>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</si>
  <si>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</si>
  <si>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</si>
  <si>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</si>
  <si>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</si>
  <si>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</si>
  <si>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</si>
  <si>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</si>
  <si>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</si>
  <si>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</si>
  <si>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</si>
  <si>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</si>
  <si>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</si>
  <si>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</si>
  <si>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</si>
  <si>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</si>
  <si>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</si>
  <si>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</si>
  <si>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147000.0, 175000.0, 236000.0, 240000.0, 250000.0, 255600.0, 300000.0, 345000.0, 350000.0, 360000.0, 385000.0, 400000.0, 400000.0, 420000.0, 460000.0, 480000.0, 500000.0, 500000.0, 580000.0]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</si>
  <si>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</si>
  <si>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</si>
  <si>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</si>
  <si>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</si>
  <si>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</si>
  <si>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</si>
  <si>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</si>
  <si>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</si>
  <si>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</si>
  <si>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</si>
  <si>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</si>
  <si>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</si>
  <si>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</si>
  <si>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</si>
  <si>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</si>
  <si>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</si>
  <si>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</si>
  <si>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</si>
  <si>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</si>
  <si>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</si>
  <si>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</si>
  <si>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</si>
  <si>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</si>
  <si>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[22000.0, 400000.0, 90000.0, 93333.33333333334, 92000.0, 9000.0, 6480.0, 45000.0, 5000.0, 21250.0, 14400.0, 6937.5]</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</si>
  <si>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</si>
  <si>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</si>
  <si>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</si>
  <si>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</si>
  <si>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</si>
  <si>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</si>
  <si>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</si>
  <si>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</si>
  <si>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</si>
  <si>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</si>
  <si>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</si>
  <si>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</si>
  <si>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</si>
  <si>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</si>
  <si>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</si>
  <si>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</si>
  <si>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</si>
  <si>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</si>
  <si>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</si>
  <si>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</si>
  <si>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</si>
  <si>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</si>
  <si>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ریشه زایی 10.52.10 شوک آمریکایی فسفر بالا (پس کرایه)', 'کود کامل (NPK) 10-52-10 وپروفرت 2 10 و 25 کیلویی', 'کود کامل NPK ریشه زایی 10.52.10 شوک اصل آمریکایی فسفر بالا (پس کرایه)', 'کود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کامل فسفر بالا گرین پیک مدل NPK 10-52-10 وزن یک کیلوگرم', 'کود پودری کامل (یک کیلویی) NPK 10-52-10+ TE', 'کود NPK 10 52 10 وپروفرت دو کیلویی', 'کود مایع NPK 10-52-10 مدل Danesh Sabz حجم 120 میلی لیتری بسته 8 تایی', 'کود کامل NPK ریشه زا 10.52.10 شوک آمریکایی فسفر بالا (پس کرایه)', 'کود کامل فسفر بالا NPK 10-52-10 TE',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'کود مایع ان پی کا فسفر بالا مدل NPK 10 52 10 حجم 360 میلی لیتر بسته سه عددی', 'ماکرو کامل 10/52/10', 'ماکرو کامل 10/52/10', 'کود کامل 10-52-10 تقویت ریشه دهی و گلدهی', 'کود فله ای 105210 npk. زیگلر آلمان .فله ای', 'کود فسفر بالا10.52.10 NPK پودری تایمکس', 'کود فله ای 105210 npk.', 'کود کامل ریشه زایی NPK فسفر بالا (10-52-10) مدل خانگی وزن 100 گرم', 'کود فسفات فسفر NPK 10-52-10 گروسیف']</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</si>
  <si>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</si>
  <si>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</si>
  <si>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</si>
  <si>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</si>
  <si>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</si>
  <si>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</si>
  <si>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</si>
  <si>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</si>
  <si>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</si>
  <si>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</si>
  <si>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</si>
  <si>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</si>
  <si>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</si>
  <si>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</si>
  <si>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</si>
  <si>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</si>
  <si>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</si>
  <si>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</si>
  <si>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</si>
  <si>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</si>
  <si>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</si>
  <si>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</si>
  <si>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</si>
  <si>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</si>
  <si>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</si>
  <si>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</si>
  <si>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</si>
  <si>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</si>
  <si>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پتاسیم سیلیکات شوک پنج لیتری آمریکایی اصل (جلوگیری از ورس خوابیدگی)',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پتاسیم سیلیکات شوک یک لیتری آمریکایی اصل', 'کود سیلیکات پتاسیم ضد ورس گندم ضد سرما و ضد سرما (پس کرایه)', 'کود مایعسیلیکات پتاسیم ورساد اسپانیا', 'کود نونامیک سیلیکون (سیلیکات پتاسیم مایع) (پس کرایه)', 'سیلیکات 70 یک لیتری ایکس گرین ترکیب کودی مایع حاوی دو عنصر سیلیسیم و پتاسیم با درصد بالا', 'سیلیکات پتاسیم پروسیل (1 لیتری)', 'کود جنتاترول سیلیکات پتاسیم تحت لیسانس مکزیک']</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</si>
  <si>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</si>
  <si>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</si>
  <si>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</si>
  <si>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</si>
  <si>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</si>
  <si>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</si>
  <si>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</si>
  <si>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</si>
  <si>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</si>
  <si>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</si>
  <si>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</si>
  <si>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</si>
  <si>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</si>
  <si>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</si>
  <si>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</si>
  <si>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</si>
  <si>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</si>
  <si>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</si>
  <si>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</si>
  <si>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</si>
  <si>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</si>
  <si>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</si>
  <si>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</si>
  <si>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</si>
  <si>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</si>
  <si>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</si>
  <si>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</si>
  <si>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</si>
  <si>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</si>
  <si>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</si>
  <si>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</si>
  <si>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</si>
  <si>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</si>
  <si>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</si>
  <si>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</si>
  <si>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</si>
  <si>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</si>
  <si>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</si>
  <si>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</si>
  <si>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</si>
  <si>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</si>
  <si>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</si>
  <si>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</si>
  <si>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</si>
  <si>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</si>
  <si>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</si>
  <si>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[83500.0, 100000.0, 210000.0, 210000.0, 228000.0, 300000.0, 330000.0, 369000.0, 412500.0, 753846.1538461539, 800000.0, 1330000.0]</t>
  </si>
  <si>
    <t>https://torob.com/p/1d9f604d-5a93-49af-a6db-a76eccf33628/%DA%A9%D9%88%D8%AF-%D9%86%DB%8C%D8%AA%D8%B1%D8%A7%D8%AA-%DA%A9%D9%84%D8%B3%DB%8C%D9%85-%D8%AC%D9%86%D9%88%D8%A8%DA%AF%D8%A7%D9%86-%D9%88%D8%B2%D9%86-25-%DA%A9%DB%8C%D9%84%D9%88%DA%AF%D8%B1%D9%85/</t>
  </si>
  <si>
    <t>https://torob.com/p/36af1ac0-1005-4842-a6a9-4ca07b169cb1/%D8%B3%D9%88%D9%84%D9%81%D8%A7%D8%AA-%D9%BE%D8%AA%D8%A7%D8%B3%DB%8C%D9%85-50-%DA%A9%DB%8C%D9%84%D9%88%DA%AF%D8%B1%D9%85/</t>
  </si>
  <si>
    <t>https://torob.com/p/e7497b3b-6337-431c-b646-10417793581d/%DA%A9%D9%88%D8%AF-npk-10-52-10-%D9%88%D8%B2%D9%86-10-%DA%A9%DB%8C%D9%84%D9%88%DA%AF%D8%B1%D9%85/</t>
  </si>
  <si>
    <t>https://basalam.com/zerafat_shop/product/5127360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</si>
</sst>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2" fillId="0" borderId="0" applyFont="0" applyFill="0" applyBorder="0" applyAlignment="0" applyProtection="0"/>
    <xf numFmtId="0" fontId="3"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165" fontId="0" fillId="0" borderId="0" xfId="1" applyNumberFormat="1" applyFont="1"/>
    <xf numFmtId="0" fontId="0" fillId="2" borderId="0" xfId="0" applyFill="1"/>
    <xf numFmtId="0" fontId="3" fillId="0" borderId="0" xfId="2"/>
  </cellXfs>
  <cellStyles count="3">
    <cellStyle name="Comma" xfId="1" builtinId="3"/>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basalam.com/zerafat_shop/product/5127360" TargetMode="External"/><Relationship Id="rId2" Type="http://schemas.openxmlformats.org/officeDocument/2006/relationships/hyperlink" Target="https://torob.com/p/e7497b3b-6337-431c-b646-10417793581d/%DA%A9%D9%88%D8%AF-npk-10-52-10-%D9%88%D8%B2%D9%86-10-%DA%A9%DB%8C%D9%84%D9%88%DA%AF%D8%B1%D9%85/" TargetMode="External"/><Relationship Id="rId1" Type="http://schemas.openxmlformats.org/officeDocument/2006/relationships/hyperlink" Target="https://torob.com/p/36af1ac0-1005-4842-a6a9-4ca07b169cb1/%D8%B3%D9%88%D9%84%D9%81%D8%A7%D8%AA-%D9%BE%D8%AA%D8%A7%D8%B3%DB%8C%D9%85-50-%DA%A9%DB%8C%D9%84%D9%88%DA%AF%D8%B1%D9%85/"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9"/>
  <sheetViews>
    <sheetView tabSelected="1" workbookViewId="0">
      <pane ySplit="1" topLeftCell="A53" activePane="bottomLeft" state="frozen"/>
      <selection pane="bottomLeft" activeCell="E1" sqref="E1:E1048576"/>
    </sheetView>
  </sheetViews>
  <sheetFormatPr defaultRowHeight="15" x14ac:dyDescent="0.25"/>
  <cols>
    <col min="4" max="4" width="10.7109375" bestFit="1" customWidth="1"/>
    <col min="5" max="5" width="13.28515625" bestFit="1" customWidth="1"/>
    <col min="6" max="7" width="18.42578125" customWidth="1"/>
    <col min="8" max="8" width="16" customWidth="1"/>
  </cols>
  <sheetData>
    <row r="1" spans="1:11" x14ac:dyDescent="0.25">
      <c r="A1" s="1" t="s">
        <v>0</v>
      </c>
      <c r="B1" s="1" t="s">
        <v>1</v>
      </c>
      <c r="C1" s="1" t="s">
        <v>2</v>
      </c>
      <c r="D1" s="1" t="s">
        <v>3</v>
      </c>
      <c r="E1" s="1" t="s">
        <v>4</v>
      </c>
      <c r="F1" s="1" t="s">
        <v>5</v>
      </c>
      <c r="G1" s="1"/>
      <c r="H1" s="1" t="s">
        <v>6</v>
      </c>
      <c r="I1" s="1" t="s">
        <v>7</v>
      </c>
    </row>
    <row r="2" spans="1:11" x14ac:dyDescent="0.25">
      <c r="A2" t="s">
        <v>8</v>
      </c>
      <c r="B2" t="s">
        <v>86</v>
      </c>
      <c r="C2">
        <v>520000</v>
      </c>
      <c r="D2" s="2">
        <v>32500</v>
      </c>
      <c r="E2" s="2">
        <v>1416666.666666667</v>
      </c>
      <c r="F2">
        <v>312472.09055955813</v>
      </c>
      <c r="G2">
        <f>E2/D2</f>
        <v>43.589743589743598</v>
      </c>
      <c r="H2" t="s">
        <v>164</v>
      </c>
      <c r="I2" t="s">
        <v>239</v>
      </c>
    </row>
    <row r="3" spans="1:11" x14ac:dyDescent="0.25">
      <c r="A3" t="s">
        <v>9</v>
      </c>
      <c r="B3" t="s">
        <v>87</v>
      </c>
      <c r="C3">
        <v>553250</v>
      </c>
      <c r="D3">
        <v>214000</v>
      </c>
      <c r="E3">
        <v>1600000</v>
      </c>
      <c r="F3">
        <v>450852.74986670102</v>
      </c>
      <c r="G3">
        <f t="shared" ref="G3:G66" si="0">E3/D3</f>
        <v>7.4766355140186915</v>
      </c>
      <c r="H3" t="s">
        <v>165</v>
      </c>
      <c r="I3" t="s">
        <v>240</v>
      </c>
    </row>
    <row r="4" spans="1:11" x14ac:dyDescent="0.25">
      <c r="A4" t="s">
        <v>10</v>
      </c>
      <c r="B4" t="s">
        <v>88</v>
      </c>
      <c r="C4">
        <v>351550</v>
      </c>
      <c r="D4">
        <v>2500</v>
      </c>
      <c r="E4">
        <v>1316666.66666667</v>
      </c>
      <c r="F4">
        <v>336656.01762716472</v>
      </c>
      <c r="G4">
        <f t="shared" si="0"/>
        <v>526.66666666666799</v>
      </c>
      <c r="H4" t="s">
        <v>166</v>
      </c>
      <c r="I4" t="s">
        <v>241</v>
      </c>
      <c r="J4" s="4" t="s">
        <v>320</v>
      </c>
      <c r="K4" s="4" t="s">
        <v>321</v>
      </c>
    </row>
    <row r="5" spans="1:11" x14ac:dyDescent="0.25">
      <c r="A5" t="s">
        <v>11</v>
      </c>
      <c r="B5" t="s">
        <v>89</v>
      </c>
      <c r="C5">
        <v>790000</v>
      </c>
      <c r="D5">
        <v>790000</v>
      </c>
      <c r="E5">
        <v>790000</v>
      </c>
      <c r="G5">
        <f t="shared" si="0"/>
        <v>1</v>
      </c>
      <c r="H5" t="s">
        <v>167</v>
      </c>
      <c r="I5" t="s">
        <v>242</v>
      </c>
    </row>
    <row r="6" spans="1:11" x14ac:dyDescent="0.25">
      <c r="A6" t="s">
        <v>12</v>
      </c>
      <c r="B6" t="s">
        <v>90</v>
      </c>
      <c r="C6">
        <v>50030000</v>
      </c>
      <c r="D6">
        <v>50030000</v>
      </c>
      <c r="E6">
        <v>50030000</v>
      </c>
      <c r="G6">
        <f t="shared" si="0"/>
        <v>1</v>
      </c>
      <c r="H6" t="s">
        <v>168</v>
      </c>
      <c r="I6" t="s">
        <v>243</v>
      </c>
    </row>
    <row r="7" spans="1:11" x14ac:dyDescent="0.25">
      <c r="A7" t="s">
        <v>13</v>
      </c>
      <c r="B7" t="s">
        <v>91</v>
      </c>
      <c r="C7">
        <v>189200</v>
      </c>
      <c r="D7">
        <v>189200</v>
      </c>
      <c r="E7">
        <v>189200</v>
      </c>
      <c r="G7">
        <f t="shared" si="0"/>
        <v>1</v>
      </c>
      <c r="H7" t="s">
        <v>169</v>
      </c>
      <c r="I7" t="s">
        <v>244</v>
      </c>
    </row>
    <row r="8" spans="1:11" x14ac:dyDescent="0.25">
      <c r="A8" t="s">
        <v>14</v>
      </c>
      <c r="B8" t="s">
        <v>92</v>
      </c>
      <c r="C8">
        <v>583000</v>
      </c>
      <c r="D8">
        <v>210000</v>
      </c>
      <c r="E8">
        <v>980000</v>
      </c>
      <c r="F8">
        <v>326339.29173995182</v>
      </c>
      <c r="G8">
        <f t="shared" si="0"/>
        <v>4.666666666666667</v>
      </c>
      <c r="H8" t="s">
        <v>170</v>
      </c>
      <c r="I8" t="s">
        <v>245</v>
      </c>
    </row>
    <row r="9" spans="1:11" x14ac:dyDescent="0.25">
      <c r="A9" t="s">
        <v>15</v>
      </c>
      <c r="B9" t="s">
        <v>93</v>
      </c>
      <c r="C9">
        <v>165000</v>
      </c>
      <c r="D9">
        <v>165000</v>
      </c>
      <c r="E9">
        <v>165000</v>
      </c>
      <c r="G9">
        <f t="shared" si="0"/>
        <v>1</v>
      </c>
      <c r="H9" t="s">
        <v>171</v>
      </c>
      <c r="I9" t="s">
        <v>246</v>
      </c>
    </row>
    <row r="10" spans="1:11" x14ac:dyDescent="0.25">
      <c r="A10" t="s">
        <v>16</v>
      </c>
      <c r="B10" t="s">
        <v>94</v>
      </c>
      <c r="C10">
        <v>620186.33540372667</v>
      </c>
      <c r="D10">
        <v>320000</v>
      </c>
      <c r="E10">
        <v>4890000</v>
      </c>
      <c r="F10">
        <v>2189520.8697968032</v>
      </c>
      <c r="G10">
        <f t="shared" si="0"/>
        <v>15.28125</v>
      </c>
      <c r="H10" t="s">
        <v>172</v>
      </c>
      <c r="I10" t="s">
        <v>247</v>
      </c>
    </row>
    <row r="11" spans="1:11" x14ac:dyDescent="0.25">
      <c r="A11" t="s">
        <v>17</v>
      </c>
      <c r="B11" t="s">
        <v>95</v>
      </c>
      <c r="C11">
        <v>135168</v>
      </c>
      <c r="D11">
        <v>135168</v>
      </c>
      <c r="E11">
        <v>135168</v>
      </c>
      <c r="G11">
        <f t="shared" si="0"/>
        <v>1</v>
      </c>
      <c r="H11" t="s">
        <v>173</v>
      </c>
      <c r="I11" t="s">
        <v>248</v>
      </c>
    </row>
    <row r="12" spans="1:11" x14ac:dyDescent="0.25">
      <c r="A12" t="s">
        <v>18</v>
      </c>
      <c r="B12" t="s">
        <v>96</v>
      </c>
      <c r="C12">
        <v>342500</v>
      </c>
      <c r="D12">
        <v>342500</v>
      </c>
      <c r="E12">
        <v>342500</v>
      </c>
      <c r="G12">
        <f t="shared" si="0"/>
        <v>1</v>
      </c>
      <c r="H12" t="s">
        <v>174</v>
      </c>
      <c r="I12" t="s">
        <v>249</v>
      </c>
    </row>
    <row r="13" spans="1:11" x14ac:dyDescent="0.25">
      <c r="A13" t="s">
        <v>19</v>
      </c>
      <c r="B13" t="s">
        <v>97</v>
      </c>
      <c r="C13">
        <v>4890000</v>
      </c>
      <c r="D13">
        <v>4890000</v>
      </c>
      <c r="E13">
        <v>4890000</v>
      </c>
      <c r="G13">
        <f t="shared" si="0"/>
        <v>1</v>
      </c>
      <c r="H13" t="s">
        <v>175</v>
      </c>
      <c r="I13" t="s">
        <v>250</v>
      </c>
    </row>
    <row r="14" spans="1:11" x14ac:dyDescent="0.25">
      <c r="A14" t="s">
        <v>20</v>
      </c>
      <c r="B14" t="s">
        <v>98</v>
      </c>
      <c r="C14">
        <v>242500</v>
      </c>
      <c r="D14">
        <v>242500</v>
      </c>
      <c r="E14">
        <v>242500</v>
      </c>
      <c r="G14">
        <f t="shared" si="0"/>
        <v>1</v>
      </c>
      <c r="H14" t="s">
        <v>176</v>
      </c>
      <c r="I14" t="s">
        <v>251</v>
      </c>
    </row>
    <row r="15" spans="1:11" x14ac:dyDescent="0.25">
      <c r="A15" t="s">
        <v>21</v>
      </c>
      <c r="B15" t="s">
        <v>99</v>
      </c>
      <c r="C15">
        <v>200000</v>
      </c>
      <c r="D15">
        <v>200000</v>
      </c>
      <c r="E15">
        <v>200000</v>
      </c>
      <c r="G15">
        <f t="shared" si="0"/>
        <v>1</v>
      </c>
      <c r="H15" t="s">
        <v>177</v>
      </c>
      <c r="I15" t="s">
        <v>252</v>
      </c>
    </row>
    <row r="16" spans="1:11" x14ac:dyDescent="0.25">
      <c r="A16" t="s">
        <v>22</v>
      </c>
      <c r="B16" t="s">
        <v>100</v>
      </c>
      <c r="C16">
        <v>382500</v>
      </c>
      <c r="D16">
        <v>345000</v>
      </c>
      <c r="E16">
        <v>420000</v>
      </c>
      <c r="F16">
        <v>53033.008588991062</v>
      </c>
      <c r="G16">
        <f t="shared" si="0"/>
        <v>1.2173913043478262</v>
      </c>
      <c r="H16" t="s">
        <v>178</v>
      </c>
      <c r="I16" t="s">
        <v>253</v>
      </c>
    </row>
    <row r="17" spans="1:10" x14ac:dyDescent="0.25">
      <c r="A17" t="s">
        <v>23</v>
      </c>
      <c r="B17" t="s">
        <v>101</v>
      </c>
      <c r="C17">
        <v>492400</v>
      </c>
      <c r="D17">
        <v>492400</v>
      </c>
      <c r="E17">
        <v>492400</v>
      </c>
      <c r="G17">
        <f t="shared" si="0"/>
        <v>1</v>
      </c>
      <c r="H17" t="s">
        <v>179</v>
      </c>
      <c r="I17" t="s">
        <v>254</v>
      </c>
    </row>
    <row r="18" spans="1:10" x14ac:dyDescent="0.25">
      <c r="A18" t="s">
        <v>24</v>
      </c>
      <c r="B18" t="s">
        <v>102</v>
      </c>
      <c r="C18">
        <v>44800</v>
      </c>
      <c r="D18">
        <v>2000</v>
      </c>
      <c r="E18">
        <v>111000</v>
      </c>
      <c r="F18">
        <v>39495.652011047721</v>
      </c>
      <c r="G18">
        <f t="shared" si="0"/>
        <v>55.5</v>
      </c>
      <c r="H18" t="s">
        <v>180</v>
      </c>
      <c r="I18" t="s">
        <v>255</v>
      </c>
    </row>
    <row r="19" spans="1:10" x14ac:dyDescent="0.25">
      <c r="A19" t="s">
        <v>25</v>
      </c>
      <c r="B19" t="s">
        <v>103</v>
      </c>
      <c r="C19">
        <v>254000</v>
      </c>
      <c r="D19">
        <v>116000</v>
      </c>
      <c r="E19">
        <v>392000</v>
      </c>
      <c r="F19">
        <v>195161.4716074871</v>
      </c>
      <c r="G19">
        <f t="shared" si="0"/>
        <v>3.3793103448275863</v>
      </c>
      <c r="H19" t="s">
        <v>181</v>
      </c>
      <c r="I19" t="s">
        <v>256</v>
      </c>
    </row>
    <row r="20" spans="1:10" x14ac:dyDescent="0.25">
      <c r="A20" t="s">
        <v>26</v>
      </c>
      <c r="B20" t="s">
        <v>104</v>
      </c>
      <c r="C20">
        <v>262000</v>
      </c>
      <c r="D20">
        <v>111600</v>
      </c>
      <c r="E20">
        <v>700000</v>
      </c>
      <c r="F20">
        <v>197907.56733468609</v>
      </c>
      <c r="G20">
        <f t="shared" si="0"/>
        <v>6.2724014336917566</v>
      </c>
      <c r="H20" t="s">
        <v>182</v>
      </c>
      <c r="I20" t="s">
        <v>257</v>
      </c>
    </row>
    <row r="21" spans="1:10" x14ac:dyDescent="0.25">
      <c r="A21" t="s">
        <v>27</v>
      </c>
      <c r="B21" t="s">
        <v>105</v>
      </c>
      <c r="C21">
        <v>181400</v>
      </c>
      <c r="D21">
        <v>4400</v>
      </c>
      <c r="E21">
        <v>500000</v>
      </c>
      <c r="F21">
        <v>138670.7902245952</v>
      </c>
      <c r="G21">
        <f t="shared" si="0"/>
        <v>113.63636363636364</v>
      </c>
      <c r="H21" t="s">
        <v>183</v>
      </c>
      <c r="I21" t="s">
        <v>258</v>
      </c>
      <c r="J21" s="3" t="s">
        <v>318</v>
      </c>
    </row>
    <row r="22" spans="1:10" x14ac:dyDescent="0.25">
      <c r="A22" t="s">
        <v>28</v>
      </c>
      <c r="B22" t="s">
        <v>106</v>
      </c>
      <c r="C22">
        <v>298000</v>
      </c>
      <c r="D22">
        <v>200000</v>
      </c>
      <c r="E22">
        <v>1300000</v>
      </c>
      <c r="F22">
        <v>410374.00433548843</v>
      </c>
      <c r="G22">
        <f t="shared" si="0"/>
        <v>6.5</v>
      </c>
      <c r="H22" t="s">
        <v>184</v>
      </c>
      <c r="I22" t="s">
        <v>259</v>
      </c>
    </row>
    <row r="23" spans="1:10" x14ac:dyDescent="0.25">
      <c r="A23" t="s">
        <v>29</v>
      </c>
      <c r="B23" t="s">
        <v>107</v>
      </c>
      <c r="C23">
        <v>279880</v>
      </c>
      <c r="D23">
        <v>175000</v>
      </c>
      <c r="E23">
        <v>3250000</v>
      </c>
      <c r="F23">
        <v>1049188.519259267</v>
      </c>
      <c r="G23">
        <f t="shared" si="0"/>
        <v>18.571428571428573</v>
      </c>
      <c r="H23" t="s">
        <v>185</v>
      </c>
      <c r="I23" t="s">
        <v>260</v>
      </c>
    </row>
    <row r="24" spans="1:10" x14ac:dyDescent="0.25">
      <c r="A24" t="s">
        <v>30</v>
      </c>
      <c r="B24" t="s">
        <v>108</v>
      </c>
      <c r="C24">
        <v>300000</v>
      </c>
      <c r="D24">
        <v>83500</v>
      </c>
      <c r="E24">
        <v>1330000</v>
      </c>
      <c r="F24">
        <v>366678.40573303599</v>
      </c>
      <c r="G24">
        <f t="shared" si="0"/>
        <v>15.928143712574851</v>
      </c>
      <c r="H24" t="s">
        <v>317</v>
      </c>
      <c r="I24" t="s">
        <v>261</v>
      </c>
    </row>
    <row r="25" spans="1:10" x14ac:dyDescent="0.25">
      <c r="A25" t="s">
        <v>31</v>
      </c>
      <c r="B25" t="s">
        <v>109</v>
      </c>
      <c r="C25">
        <v>339000</v>
      </c>
      <c r="D25">
        <v>339000</v>
      </c>
      <c r="E25">
        <v>339000</v>
      </c>
      <c r="G25">
        <f t="shared" si="0"/>
        <v>1</v>
      </c>
      <c r="H25" t="s">
        <v>186</v>
      </c>
      <c r="I25" t="s">
        <v>262</v>
      </c>
    </row>
    <row r="26" spans="1:10" x14ac:dyDescent="0.25">
      <c r="A26" t="s">
        <v>32</v>
      </c>
      <c r="B26" t="s">
        <v>110</v>
      </c>
      <c r="C26">
        <v>839900</v>
      </c>
      <c r="D26">
        <v>131500</v>
      </c>
      <c r="E26">
        <v>1550000</v>
      </c>
      <c r="F26">
        <v>408050.0709204771</v>
      </c>
      <c r="G26">
        <f t="shared" si="0"/>
        <v>11.787072243346008</v>
      </c>
      <c r="H26" t="s">
        <v>187</v>
      </c>
      <c r="I26" t="s">
        <v>263</v>
      </c>
    </row>
    <row r="27" spans="1:10" x14ac:dyDescent="0.25">
      <c r="A27" t="s">
        <v>33</v>
      </c>
      <c r="B27" t="s">
        <v>111</v>
      </c>
      <c r="C27">
        <v>116000</v>
      </c>
      <c r="D27">
        <v>40000</v>
      </c>
      <c r="E27">
        <v>152000</v>
      </c>
      <c r="F27">
        <v>57178.084379710846</v>
      </c>
      <c r="G27">
        <f t="shared" si="0"/>
        <v>3.8</v>
      </c>
      <c r="H27" t="s">
        <v>188</v>
      </c>
      <c r="I27" t="s">
        <v>264</v>
      </c>
    </row>
    <row r="28" spans="1:10" x14ac:dyDescent="0.25">
      <c r="A28" t="s">
        <v>34</v>
      </c>
      <c r="B28" t="s">
        <v>112</v>
      </c>
      <c r="C28">
        <v>93500</v>
      </c>
      <c r="D28">
        <v>17000</v>
      </c>
      <c r="E28">
        <v>170000</v>
      </c>
      <c r="F28">
        <v>108187.33752154181</v>
      </c>
      <c r="G28">
        <f t="shared" si="0"/>
        <v>10</v>
      </c>
      <c r="H28" t="s">
        <v>189</v>
      </c>
      <c r="I28" t="s">
        <v>265</v>
      </c>
    </row>
    <row r="29" spans="1:10" x14ac:dyDescent="0.25">
      <c r="A29" t="s">
        <v>35</v>
      </c>
      <c r="B29" t="s">
        <v>113</v>
      </c>
      <c r="C29">
        <v>180175</v>
      </c>
      <c r="D29">
        <v>1500</v>
      </c>
      <c r="E29">
        <v>760000</v>
      </c>
      <c r="F29">
        <v>209602.8043885245</v>
      </c>
      <c r="G29">
        <f t="shared" si="0"/>
        <v>506.66666666666669</v>
      </c>
      <c r="H29" t="s">
        <v>190</v>
      </c>
      <c r="I29" t="s">
        <v>266</v>
      </c>
      <c r="J29" s="4" t="s">
        <v>319</v>
      </c>
    </row>
    <row r="30" spans="1:10" x14ac:dyDescent="0.25">
      <c r="A30" t="s">
        <v>36</v>
      </c>
      <c r="B30" t="s">
        <v>114</v>
      </c>
      <c r="C30">
        <v>51840</v>
      </c>
      <c r="D30">
        <v>51840</v>
      </c>
      <c r="E30">
        <v>51840</v>
      </c>
      <c r="G30">
        <f t="shared" si="0"/>
        <v>1</v>
      </c>
      <c r="H30" t="s">
        <v>191</v>
      </c>
      <c r="I30" t="s">
        <v>267</v>
      </c>
    </row>
    <row r="31" spans="1:10" x14ac:dyDescent="0.25">
      <c r="A31" t="s">
        <v>37</v>
      </c>
      <c r="B31" t="s">
        <v>115</v>
      </c>
      <c r="C31">
        <v>687291.66666666674</v>
      </c>
      <c r="D31">
        <v>384583.33333333337</v>
      </c>
      <c r="E31">
        <v>990000</v>
      </c>
      <c r="F31">
        <v>428094.23044335563</v>
      </c>
      <c r="G31">
        <f t="shared" si="0"/>
        <v>2.5742145178764892</v>
      </c>
      <c r="H31" t="s">
        <v>192</v>
      </c>
      <c r="I31" t="s">
        <v>268</v>
      </c>
    </row>
    <row r="32" spans="1:10" x14ac:dyDescent="0.25">
      <c r="A32" t="s">
        <v>38</v>
      </c>
      <c r="B32" t="s">
        <v>116</v>
      </c>
      <c r="C32">
        <v>102000</v>
      </c>
      <c r="D32">
        <v>102000</v>
      </c>
      <c r="E32">
        <v>102000</v>
      </c>
      <c r="G32">
        <f t="shared" si="0"/>
        <v>1</v>
      </c>
      <c r="H32" t="s">
        <v>193</v>
      </c>
      <c r="I32" t="s">
        <v>269</v>
      </c>
    </row>
    <row r="33" spans="1:9" x14ac:dyDescent="0.25">
      <c r="A33" t="s">
        <v>39</v>
      </c>
      <c r="B33" t="s">
        <v>117</v>
      </c>
      <c r="C33">
        <v>355000</v>
      </c>
      <c r="D33">
        <v>18500</v>
      </c>
      <c r="E33">
        <v>580000</v>
      </c>
      <c r="F33">
        <v>138492.90111011011</v>
      </c>
      <c r="G33">
        <f t="shared" si="0"/>
        <v>31.351351351351351</v>
      </c>
      <c r="H33" t="s">
        <v>194</v>
      </c>
      <c r="I33" t="s">
        <v>270</v>
      </c>
    </row>
    <row r="34" spans="1:9" x14ac:dyDescent="0.25">
      <c r="A34" t="s">
        <v>40</v>
      </c>
      <c r="B34" t="s">
        <v>118</v>
      </c>
      <c r="C34">
        <v>980000</v>
      </c>
      <c r="D34">
        <v>410000</v>
      </c>
      <c r="E34">
        <v>1550000</v>
      </c>
      <c r="F34">
        <v>806101.73055266414</v>
      </c>
      <c r="G34">
        <f t="shared" si="0"/>
        <v>3.7804878048780486</v>
      </c>
      <c r="H34" t="s">
        <v>195</v>
      </c>
      <c r="I34" t="s">
        <v>271</v>
      </c>
    </row>
    <row r="35" spans="1:9" x14ac:dyDescent="0.25">
      <c r="A35" t="s">
        <v>41</v>
      </c>
      <c r="B35" t="s">
        <v>119</v>
      </c>
      <c r="C35">
        <v>1050000</v>
      </c>
      <c r="D35">
        <v>157500</v>
      </c>
      <c r="E35">
        <v>1116666.666666667</v>
      </c>
      <c r="F35">
        <v>535568.45016749715</v>
      </c>
      <c r="G35">
        <f t="shared" si="0"/>
        <v>7.089947089947092</v>
      </c>
      <c r="H35" t="s">
        <v>196</v>
      </c>
      <c r="I35" t="s">
        <v>272</v>
      </c>
    </row>
    <row r="36" spans="1:9" x14ac:dyDescent="0.25">
      <c r="A36" t="s">
        <v>42</v>
      </c>
      <c r="B36" t="s">
        <v>120</v>
      </c>
      <c r="C36">
        <v>117000</v>
      </c>
      <c r="D36">
        <v>23200</v>
      </c>
      <c r="E36">
        <v>930000</v>
      </c>
      <c r="F36">
        <v>302567.07883867621</v>
      </c>
      <c r="G36">
        <f t="shared" si="0"/>
        <v>40.086206896551722</v>
      </c>
      <c r="H36" t="s">
        <v>197</v>
      </c>
      <c r="I36" t="s">
        <v>273</v>
      </c>
    </row>
    <row r="37" spans="1:9" x14ac:dyDescent="0.25">
      <c r="A37" t="s">
        <v>43</v>
      </c>
      <c r="B37" t="s">
        <v>121</v>
      </c>
      <c r="C37">
        <v>1138500</v>
      </c>
      <c r="D37">
        <v>152000</v>
      </c>
      <c r="E37">
        <v>2125000</v>
      </c>
      <c r="F37">
        <v>1395121.679281058</v>
      </c>
      <c r="G37">
        <f t="shared" si="0"/>
        <v>13.980263157894736</v>
      </c>
      <c r="H37" t="s">
        <v>198</v>
      </c>
      <c r="I37" t="s">
        <v>274</v>
      </c>
    </row>
    <row r="38" spans="1:9" x14ac:dyDescent="0.25">
      <c r="A38" t="s">
        <v>44</v>
      </c>
      <c r="B38" t="s">
        <v>122</v>
      </c>
      <c r="C38">
        <v>523000</v>
      </c>
      <c r="D38">
        <v>490000</v>
      </c>
      <c r="E38">
        <v>556000</v>
      </c>
      <c r="F38">
        <v>46669.047558312137</v>
      </c>
      <c r="G38">
        <f t="shared" si="0"/>
        <v>1.1346938775510205</v>
      </c>
      <c r="H38" t="s">
        <v>199</v>
      </c>
      <c r="I38" t="s">
        <v>275</v>
      </c>
    </row>
    <row r="39" spans="1:9" x14ac:dyDescent="0.25">
      <c r="A39" t="s">
        <v>45</v>
      </c>
      <c r="B39" t="s">
        <v>123</v>
      </c>
      <c r="C39">
        <v>39100</v>
      </c>
      <c r="D39">
        <v>2200</v>
      </c>
      <c r="E39">
        <v>76000</v>
      </c>
      <c r="F39">
        <v>52184.480451567208</v>
      </c>
      <c r="G39">
        <f t="shared" si="0"/>
        <v>34.545454545454547</v>
      </c>
      <c r="H39" t="s">
        <v>200</v>
      </c>
      <c r="I39" t="s">
        <v>276</v>
      </c>
    </row>
    <row r="40" spans="1:9" x14ac:dyDescent="0.25">
      <c r="A40" t="s">
        <v>46</v>
      </c>
      <c r="B40" t="s">
        <v>124</v>
      </c>
      <c r="C40">
        <v>91000</v>
      </c>
      <c r="D40">
        <v>38000</v>
      </c>
      <c r="E40">
        <v>300000</v>
      </c>
      <c r="F40">
        <v>138524.36608770321</v>
      </c>
      <c r="G40">
        <f t="shared" si="0"/>
        <v>7.8947368421052628</v>
      </c>
      <c r="H40" t="s">
        <v>201</v>
      </c>
      <c r="I40" t="s">
        <v>277</v>
      </c>
    </row>
    <row r="41" spans="1:9" x14ac:dyDescent="0.25">
      <c r="A41" t="s">
        <v>47</v>
      </c>
      <c r="B41" t="s">
        <v>125</v>
      </c>
      <c r="C41">
        <v>176000</v>
      </c>
      <c r="D41">
        <v>10250</v>
      </c>
      <c r="E41">
        <v>550000</v>
      </c>
      <c r="F41">
        <v>158707.86327310739</v>
      </c>
      <c r="G41">
        <f t="shared" si="0"/>
        <v>53.658536585365852</v>
      </c>
      <c r="H41" t="s">
        <v>202</v>
      </c>
      <c r="I41" t="s">
        <v>278</v>
      </c>
    </row>
    <row r="42" spans="1:9" x14ac:dyDescent="0.25">
      <c r="A42" t="s">
        <v>48</v>
      </c>
      <c r="B42" t="s">
        <v>126</v>
      </c>
      <c r="C42">
        <v>44700</v>
      </c>
      <c r="D42">
        <v>21000</v>
      </c>
      <c r="E42">
        <v>134000</v>
      </c>
      <c r="F42">
        <v>44046.821516589429</v>
      </c>
      <c r="G42">
        <f t="shared" si="0"/>
        <v>6.3809523809523814</v>
      </c>
      <c r="H42" t="s">
        <v>203</v>
      </c>
      <c r="I42" t="s">
        <v>279</v>
      </c>
    </row>
    <row r="43" spans="1:9" x14ac:dyDescent="0.25">
      <c r="A43" t="s">
        <v>49</v>
      </c>
      <c r="B43" t="s">
        <v>127</v>
      </c>
      <c r="C43">
        <v>539500</v>
      </c>
      <c r="D43">
        <v>7000</v>
      </c>
      <c r="E43">
        <v>1840000</v>
      </c>
      <c r="F43">
        <v>846834.72216641344</v>
      </c>
      <c r="G43">
        <f t="shared" si="0"/>
        <v>262.85714285714283</v>
      </c>
      <c r="H43" t="s">
        <v>204</v>
      </c>
      <c r="I43" t="s">
        <v>280</v>
      </c>
    </row>
    <row r="44" spans="1:9" x14ac:dyDescent="0.25">
      <c r="A44" t="s">
        <v>50</v>
      </c>
      <c r="B44" t="s">
        <v>128</v>
      </c>
      <c r="C44">
        <v>785000</v>
      </c>
      <c r="D44">
        <v>253571.42857142861</v>
      </c>
      <c r="E44">
        <v>7500000</v>
      </c>
      <c r="F44">
        <v>3105424.8698767419</v>
      </c>
      <c r="G44">
        <f t="shared" si="0"/>
        <v>29.577464788732389</v>
      </c>
      <c r="H44" t="s">
        <v>205</v>
      </c>
      <c r="I44" t="s">
        <v>281</v>
      </c>
    </row>
    <row r="45" spans="1:9" x14ac:dyDescent="0.25">
      <c r="A45" t="s">
        <v>51</v>
      </c>
      <c r="B45" t="s">
        <v>129</v>
      </c>
      <c r="C45">
        <v>129500</v>
      </c>
      <c r="D45">
        <v>23200</v>
      </c>
      <c r="E45">
        <v>450000</v>
      </c>
      <c r="F45">
        <v>149109.3960289793</v>
      </c>
      <c r="G45">
        <f t="shared" si="0"/>
        <v>19.396551724137932</v>
      </c>
      <c r="H45" t="s">
        <v>206</v>
      </c>
      <c r="I45" t="s">
        <v>282</v>
      </c>
    </row>
    <row r="46" spans="1:9" x14ac:dyDescent="0.25">
      <c r="A46" t="s">
        <v>52</v>
      </c>
      <c r="B46" t="s">
        <v>130</v>
      </c>
      <c r="C46">
        <v>400000</v>
      </c>
      <c r="D46">
        <v>162500</v>
      </c>
      <c r="E46">
        <v>920000</v>
      </c>
      <c r="F46">
        <v>242898.60220343171</v>
      </c>
      <c r="G46">
        <f t="shared" si="0"/>
        <v>5.6615384615384619</v>
      </c>
      <c r="H46" t="s">
        <v>207</v>
      </c>
      <c r="I46" t="s">
        <v>283</v>
      </c>
    </row>
    <row r="47" spans="1:9" x14ac:dyDescent="0.25">
      <c r="A47" t="s">
        <v>53</v>
      </c>
      <c r="B47" t="s">
        <v>131</v>
      </c>
      <c r="C47">
        <v>416666.66666666669</v>
      </c>
      <c r="D47">
        <v>139200</v>
      </c>
      <c r="E47">
        <v>650000</v>
      </c>
      <c r="F47">
        <v>184934.74573972891</v>
      </c>
      <c r="G47">
        <f t="shared" si="0"/>
        <v>4.6695402298850572</v>
      </c>
      <c r="H47" t="s">
        <v>208</v>
      </c>
      <c r="I47" t="s">
        <v>284</v>
      </c>
    </row>
    <row r="48" spans="1:9" x14ac:dyDescent="0.25">
      <c r="A48" t="s">
        <v>54</v>
      </c>
      <c r="B48" t="s">
        <v>132</v>
      </c>
      <c r="C48">
        <v>928000</v>
      </c>
      <c r="D48">
        <v>450000</v>
      </c>
      <c r="E48">
        <v>1083333.333333333</v>
      </c>
      <c r="F48">
        <v>247563.50475966549</v>
      </c>
      <c r="G48">
        <f t="shared" si="0"/>
        <v>2.4074074074074066</v>
      </c>
      <c r="H48" t="s">
        <v>209</v>
      </c>
      <c r="I48" t="s">
        <v>285</v>
      </c>
    </row>
    <row r="49" spans="1:9" x14ac:dyDescent="0.25">
      <c r="A49" t="s">
        <v>55</v>
      </c>
      <c r="B49" t="s">
        <v>133</v>
      </c>
      <c r="C49">
        <v>477500</v>
      </c>
      <c r="D49">
        <v>246000</v>
      </c>
      <c r="E49">
        <v>5926000</v>
      </c>
      <c r="F49">
        <v>2233569.8780203862</v>
      </c>
      <c r="G49">
        <f t="shared" si="0"/>
        <v>24.089430894308943</v>
      </c>
      <c r="H49" t="s">
        <v>210</v>
      </c>
      <c r="I49" t="s">
        <v>286</v>
      </c>
    </row>
    <row r="50" spans="1:9" x14ac:dyDescent="0.25">
      <c r="A50" t="s">
        <v>56</v>
      </c>
      <c r="B50" t="s">
        <v>134</v>
      </c>
      <c r="C50">
        <v>770000</v>
      </c>
      <c r="D50">
        <v>770000</v>
      </c>
      <c r="E50">
        <v>770000</v>
      </c>
      <c r="G50">
        <f t="shared" si="0"/>
        <v>1</v>
      </c>
      <c r="H50" t="s">
        <v>211</v>
      </c>
      <c r="I50" t="s">
        <v>287</v>
      </c>
    </row>
    <row r="51" spans="1:9" x14ac:dyDescent="0.25">
      <c r="A51" t="s">
        <v>57</v>
      </c>
      <c r="B51" t="s">
        <v>135</v>
      </c>
      <c r="C51">
        <v>440000</v>
      </c>
      <c r="D51">
        <v>93000</v>
      </c>
      <c r="E51">
        <v>850000</v>
      </c>
      <c r="F51">
        <v>283058.55022793933</v>
      </c>
      <c r="G51">
        <f t="shared" si="0"/>
        <v>9.1397849462365599</v>
      </c>
      <c r="H51" t="s">
        <v>212</v>
      </c>
      <c r="I51" t="s">
        <v>288</v>
      </c>
    </row>
    <row r="52" spans="1:9" x14ac:dyDescent="0.25">
      <c r="A52" t="s">
        <v>58</v>
      </c>
      <c r="B52" t="s">
        <v>136</v>
      </c>
      <c r="C52">
        <v>145900</v>
      </c>
      <c r="D52">
        <v>97000</v>
      </c>
      <c r="E52">
        <v>323529.41176470579</v>
      </c>
      <c r="F52">
        <v>119205.0001176818</v>
      </c>
      <c r="G52">
        <f t="shared" si="0"/>
        <v>3.3353547604608842</v>
      </c>
      <c r="H52" t="s">
        <v>213</v>
      </c>
      <c r="I52" t="s">
        <v>289</v>
      </c>
    </row>
    <row r="53" spans="1:9" x14ac:dyDescent="0.25">
      <c r="A53" t="s">
        <v>59</v>
      </c>
      <c r="B53" t="s">
        <v>137</v>
      </c>
      <c r="C53">
        <v>10000</v>
      </c>
      <c r="D53">
        <v>10000</v>
      </c>
      <c r="E53">
        <v>10000</v>
      </c>
      <c r="G53">
        <f t="shared" si="0"/>
        <v>1</v>
      </c>
      <c r="H53" t="s">
        <v>214</v>
      </c>
      <c r="I53" t="s">
        <v>290</v>
      </c>
    </row>
    <row r="54" spans="1:9" x14ac:dyDescent="0.25">
      <c r="A54" t="s">
        <v>60</v>
      </c>
      <c r="B54" t="s">
        <v>138</v>
      </c>
      <c r="C54">
        <v>10000</v>
      </c>
      <c r="D54">
        <v>10000</v>
      </c>
      <c r="E54">
        <v>10000</v>
      </c>
      <c r="G54">
        <f t="shared" si="0"/>
        <v>1</v>
      </c>
      <c r="H54" t="s">
        <v>214</v>
      </c>
      <c r="I54" t="s">
        <v>291</v>
      </c>
    </row>
    <row r="55" spans="1:9" x14ac:dyDescent="0.25">
      <c r="A55" t="s">
        <v>61</v>
      </c>
      <c r="B55" t="s">
        <v>139</v>
      </c>
      <c r="C55">
        <v>200000</v>
      </c>
      <c r="D55">
        <v>200000</v>
      </c>
      <c r="E55">
        <v>200000</v>
      </c>
      <c r="G55">
        <f t="shared" si="0"/>
        <v>1</v>
      </c>
      <c r="H55" t="s">
        <v>177</v>
      </c>
      <c r="I55" t="s">
        <v>292</v>
      </c>
    </row>
    <row r="56" spans="1:9" x14ac:dyDescent="0.25">
      <c r="A56" t="s">
        <v>62</v>
      </c>
      <c r="B56" t="s">
        <v>140</v>
      </c>
      <c r="C56">
        <v>9100</v>
      </c>
      <c r="D56">
        <v>9100</v>
      </c>
      <c r="E56">
        <v>158800</v>
      </c>
      <c r="F56">
        <v>86429.335297686979</v>
      </c>
      <c r="G56">
        <f t="shared" si="0"/>
        <v>17.450549450549449</v>
      </c>
      <c r="H56" t="s">
        <v>215</v>
      </c>
      <c r="I56" t="s">
        <v>293</v>
      </c>
    </row>
    <row r="57" spans="1:9" x14ac:dyDescent="0.25">
      <c r="A57" t="s">
        <v>63</v>
      </c>
      <c r="B57" t="s">
        <v>141</v>
      </c>
      <c r="C57">
        <v>65280</v>
      </c>
      <c r="D57">
        <v>12950</v>
      </c>
      <c r="E57">
        <v>121800</v>
      </c>
      <c r="F57">
        <v>29530.103880241699</v>
      </c>
      <c r="G57">
        <f t="shared" si="0"/>
        <v>9.4054054054054053</v>
      </c>
      <c r="H57" t="s">
        <v>216</v>
      </c>
      <c r="I57" t="s">
        <v>294</v>
      </c>
    </row>
    <row r="58" spans="1:9" x14ac:dyDescent="0.25">
      <c r="A58" t="s">
        <v>64</v>
      </c>
      <c r="B58" t="s">
        <v>142</v>
      </c>
      <c r="C58">
        <v>67500</v>
      </c>
      <c r="D58">
        <v>52250</v>
      </c>
      <c r="E58">
        <v>152500</v>
      </c>
      <c r="F58">
        <v>38464.404540648567</v>
      </c>
      <c r="G58">
        <f t="shared" si="0"/>
        <v>2.9186602870813396</v>
      </c>
      <c r="H58" t="s">
        <v>217</v>
      </c>
      <c r="I58" t="s">
        <v>295</v>
      </c>
    </row>
    <row r="59" spans="1:9" x14ac:dyDescent="0.25">
      <c r="A59" t="s">
        <v>65</v>
      </c>
      <c r="B59" t="s">
        <v>143</v>
      </c>
      <c r="C59">
        <v>21625</v>
      </c>
      <c r="D59">
        <v>5000</v>
      </c>
      <c r="E59">
        <v>400000</v>
      </c>
      <c r="F59">
        <v>110611.22650685511</v>
      </c>
      <c r="G59">
        <f t="shared" si="0"/>
        <v>80</v>
      </c>
      <c r="H59" t="s">
        <v>218</v>
      </c>
      <c r="I59" t="s">
        <v>296</v>
      </c>
    </row>
    <row r="60" spans="1:9" x14ac:dyDescent="0.25">
      <c r="A60" t="s">
        <v>66</v>
      </c>
      <c r="B60" t="s">
        <v>144</v>
      </c>
      <c r="C60">
        <v>394000</v>
      </c>
      <c r="D60">
        <v>12000</v>
      </c>
      <c r="E60">
        <v>1700000</v>
      </c>
      <c r="F60">
        <v>359563.24528382078</v>
      </c>
      <c r="G60">
        <f t="shared" si="0"/>
        <v>141.66666666666666</v>
      </c>
      <c r="H60" t="s">
        <v>219</v>
      </c>
      <c r="I60" t="s">
        <v>297</v>
      </c>
    </row>
    <row r="61" spans="1:9" x14ac:dyDescent="0.25">
      <c r="A61" t="s">
        <v>67</v>
      </c>
      <c r="B61" t="s">
        <v>145</v>
      </c>
      <c r="C61">
        <v>750000</v>
      </c>
      <c r="D61">
        <v>170000</v>
      </c>
      <c r="E61">
        <v>1940000</v>
      </c>
      <c r="F61">
        <v>412513.18444082059</v>
      </c>
      <c r="G61">
        <f t="shared" si="0"/>
        <v>11.411764705882353</v>
      </c>
      <c r="H61" t="s">
        <v>220</v>
      </c>
      <c r="I61" t="s">
        <v>298</v>
      </c>
    </row>
    <row r="62" spans="1:9" x14ac:dyDescent="0.25">
      <c r="A62" t="s">
        <v>68</v>
      </c>
      <c r="B62" t="s">
        <v>146</v>
      </c>
      <c r="C62">
        <v>3500000</v>
      </c>
      <c r="D62">
        <v>3500000</v>
      </c>
      <c r="E62">
        <v>3500000</v>
      </c>
      <c r="G62">
        <f t="shared" si="0"/>
        <v>1</v>
      </c>
      <c r="H62" t="s">
        <v>221</v>
      </c>
      <c r="I62" t="s">
        <v>299</v>
      </c>
    </row>
    <row r="63" spans="1:9" x14ac:dyDescent="0.25">
      <c r="A63" t="s">
        <v>69</v>
      </c>
      <c r="B63" t="s">
        <v>147</v>
      </c>
      <c r="C63">
        <v>141900</v>
      </c>
      <c r="D63">
        <v>14800</v>
      </c>
      <c r="E63">
        <v>269000</v>
      </c>
      <c r="F63">
        <v>179746.54377762039</v>
      </c>
      <c r="G63">
        <f t="shared" si="0"/>
        <v>18.175675675675677</v>
      </c>
      <c r="H63" t="s">
        <v>222</v>
      </c>
      <c r="I63" t="s">
        <v>300</v>
      </c>
    </row>
    <row r="64" spans="1:9" x14ac:dyDescent="0.25">
      <c r="A64" t="s">
        <v>70</v>
      </c>
      <c r="B64" t="s">
        <v>148</v>
      </c>
      <c r="C64">
        <v>365000</v>
      </c>
      <c r="D64">
        <v>365000</v>
      </c>
      <c r="E64">
        <v>365000</v>
      </c>
      <c r="G64">
        <f t="shared" si="0"/>
        <v>1</v>
      </c>
      <c r="H64" t="s">
        <v>223</v>
      </c>
      <c r="I64" t="s">
        <v>301</v>
      </c>
    </row>
    <row r="65" spans="1:9" x14ac:dyDescent="0.25">
      <c r="A65" t="s">
        <v>71</v>
      </c>
      <c r="B65" t="s">
        <v>149</v>
      </c>
      <c r="C65">
        <v>943000</v>
      </c>
      <c r="D65">
        <v>24750</v>
      </c>
      <c r="E65">
        <v>3320000</v>
      </c>
      <c r="F65">
        <v>744278.2850850469</v>
      </c>
      <c r="G65">
        <f t="shared" si="0"/>
        <v>134.14141414141415</v>
      </c>
      <c r="H65" t="s">
        <v>224</v>
      </c>
      <c r="I65" t="s">
        <v>302</v>
      </c>
    </row>
    <row r="66" spans="1:9" x14ac:dyDescent="0.25">
      <c r="A66" t="s">
        <v>72</v>
      </c>
      <c r="B66" t="s">
        <v>150</v>
      </c>
      <c r="C66">
        <v>130000</v>
      </c>
      <c r="D66">
        <v>130000</v>
      </c>
      <c r="E66">
        <v>130000</v>
      </c>
      <c r="G66">
        <f t="shared" si="0"/>
        <v>1</v>
      </c>
      <c r="H66" t="s">
        <v>225</v>
      </c>
      <c r="I66" t="s">
        <v>303</v>
      </c>
    </row>
    <row r="67" spans="1:9" x14ac:dyDescent="0.25">
      <c r="A67" t="s">
        <v>73</v>
      </c>
      <c r="B67" t="s">
        <v>151</v>
      </c>
      <c r="C67">
        <v>105000</v>
      </c>
      <c r="D67">
        <v>95000</v>
      </c>
      <c r="E67">
        <v>115000</v>
      </c>
      <c r="F67">
        <v>14142.13562373095</v>
      </c>
      <c r="G67">
        <f t="shared" ref="G67:G79" si="1">E67/D67</f>
        <v>1.2105263157894737</v>
      </c>
      <c r="H67" t="s">
        <v>226</v>
      </c>
      <c r="I67" t="s">
        <v>304</v>
      </c>
    </row>
    <row r="68" spans="1:9" x14ac:dyDescent="0.25">
      <c r="A68" t="s">
        <v>74</v>
      </c>
      <c r="B68" t="s">
        <v>152</v>
      </c>
      <c r="C68">
        <v>13483000</v>
      </c>
      <c r="D68">
        <v>966000</v>
      </c>
      <c r="E68">
        <v>26000000</v>
      </c>
      <c r="F68">
        <v>17701711.160224032</v>
      </c>
      <c r="G68">
        <f t="shared" si="1"/>
        <v>26.915113871635612</v>
      </c>
      <c r="H68" t="s">
        <v>227</v>
      </c>
      <c r="I68" t="s">
        <v>305</v>
      </c>
    </row>
    <row r="69" spans="1:9" x14ac:dyDescent="0.25">
      <c r="A69" t="s">
        <v>75</v>
      </c>
      <c r="B69" t="s">
        <v>153</v>
      </c>
      <c r="C69">
        <v>190336</v>
      </c>
      <c r="D69">
        <v>62400</v>
      </c>
      <c r="E69">
        <v>610800</v>
      </c>
      <c r="F69">
        <v>239855.1948488921</v>
      </c>
      <c r="G69">
        <f t="shared" si="1"/>
        <v>9.7884615384615383</v>
      </c>
      <c r="H69" t="s">
        <v>228</v>
      </c>
      <c r="I69" t="s">
        <v>306</v>
      </c>
    </row>
    <row r="70" spans="1:9" x14ac:dyDescent="0.25">
      <c r="A70" t="s">
        <v>76</v>
      </c>
      <c r="B70" t="s">
        <v>154</v>
      </c>
      <c r="C70">
        <v>1120000</v>
      </c>
      <c r="D70">
        <v>460000</v>
      </c>
      <c r="E70">
        <v>3000000</v>
      </c>
      <c r="F70">
        <v>910434.16315528657</v>
      </c>
      <c r="G70">
        <f t="shared" si="1"/>
        <v>6.5217391304347823</v>
      </c>
      <c r="H70" t="s">
        <v>229</v>
      </c>
      <c r="I70" t="s">
        <v>307</v>
      </c>
    </row>
    <row r="71" spans="1:9" x14ac:dyDescent="0.25">
      <c r="A71" t="s">
        <v>77</v>
      </c>
      <c r="B71" t="s">
        <v>155</v>
      </c>
      <c r="C71">
        <v>716666.66666666674</v>
      </c>
      <c r="D71">
        <v>20000</v>
      </c>
      <c r="E71">
        <v>2560000</v>
      </c>
      <c r="F71">
        <v>533197.13273150683</v>
      </c>
      <c r="G71">
        <f t="shared" si="1"/>
        <v>128</v>
      </c>
      <c r="H71" t="s">
        <v>230</v>
      </c>
      <c r="I71" t="s">
        <v>308</v>
      </c>
    </row>
    <row r="72" spans="1:9" x14ac:dyDescent="0.25">
      <c r="A72" t="s">
        <v>78</v>
      </c>
      <c r="B72" t="s">
        <v>156</v>
      </c>
      <c r="C72">
        <v>550000</v>
      </c>
      <c r="D72">
        <v>550000</v>
      </c>
      <c r="E72">
        <v>550000</v>
      </c>
      <c r="G72">
        <f t="shared" si="1"/>
        <v>1</v>
      </c>
      <c r="H72" t="s">
        <v>231</v>
      </c>
      <c r="I72" t="s">
        <v>309</v>
      </c>
    </row>
    <row r="73" spans="1:9" x14ac:dyDescent="0.25">
      <c r="A73" t="s">
        <v>79</v>
      </c>
      <c r="B73" t="s">
        <v>157</v>
      </c>
      <c r="C73">
        <v>535000</v>
      </c>
      <c r="D73">
        <v>330000</v>
      </c>
      <c r="E73">
        <v>1400000</v>
      </c>
      <c r="F73">
        <v>505107.24933753762</v>
      </c>
      <c r="G73">
        <f t="shared" si="1"/>
        <v>4.2424242424242422</v>
      </c>
      <c r="H73" t="s">
        <v>232</v>
      </c>
      <c r="I73" t="s">
        <v>310</v>
      </c>
    </row>
    <row r="74" spans="1:9" x14ac:dyDescent="0.25">
      <c r="A74" t="s">
        <v>80</v>
      </c>
      <c r="B74" t="s">
        <v>158</v>
      </c>
      <c r="C74">
        <v>800000</v>
      </c>
      <c r="D74">
        <v>60000</v>
      </c>
      <c r="E74">
        <v>2560000</v>
      </c>
      <c r="F74">
        <v>621780.0355509267</v>
      </c>
      <c r="G74">
        <f t="shared" si="1"/>
        <v>42.666666666666664</v>
      </c>
      <c r="H74" t="s">
        <v>233</v>
      </c>
      <c r="I74" t="s">
        <v>311</v>
      </c>
    </row>
    <row r="75" spans="1:9" x14ac:dyDescent="0.25">
      <c r="A75" t="s">
        <v>81</v>
      </c>
      <c r="B75" t="s">
        <v>159</v>
      </c>
      <c r="C75">
        <v>1242000</v>
      </c>
      <c r="D75">
        <v>660000</v>
      </c>
      <c r="E75">
        <v>1714285.7142857141</v>
      </c>
      <c r="F75">
        <v>528093.45184119721</v>
      </c>
      <c r="G75">
        <f t="shared" si="1"/>
        <v>2.5974025974025969</v>
      </c>
      <c r="H75" t="s">
        <v>234</v>
      </c>
      <c r="I75" t="s">
        <v>312</v>
      </c>
    </row>
    <row r="76" spans="1:9" x14ac:dyDescent="0.25">
      <c r="A76" t="s">
        <v>82</v>
      </c>
      <c r="B76" t="s">
        <v>160</v>
      </c>
      <c r="C76">
        <v>115000</v>
      </c>
      <c r="D76" s="2">
        <v>45000</v>
      </c>
      <c r="E76" s="2">
        <v>900000</v>
      </c>
      <c r="F76">
        <v>256569.47876958369</v>
      </c>
      <c r="G76">
        <f t="shared" si="1"/>
        <v>20</v>
      </c>
      <c r="H76" t="s">
        <v>235</v>
      </c>
      <c r="I76" t="s">
        <v>313</v>
      </c>
    </row>
    <row r="77" spans="1:9" x14ac:dyDescent="0.25">
      <c r="A77" t="s">
        <v>83</v>
      </c>
      <c r="B77" t="s">
        <v>161</v>
      </c>
      <c r="C77">
        <v>450000</v>
      </c>
      <c r="D77">
        <v>54000</v>
      </c>
      <c r="E77">
        <v>1333333.333333333</v>
      </c>
      <c r="F77">
        <v>355099.35954036057</v>
      </c>
      <c r="G77">
        <f t="shared" si="1"/>
        <v>24.691358024691354</v>
      </c>
      <c r="H77" t="s">
        <v>236</v>
      </c>
      <c r="I77" t="s">
        <v>314</v>
      </c>
    </row>
    <row r="78" spans="1:9" x14ac:dyDescent="0.25">
      <c r="A78" t="s">
        <v>84</v>
      </c>
      <c r="B78" t="s">
        <v>162</v>
      </c>
      <c r="C78">
        <v>14000</v>
      </c>
      <c r="D78">
        <v>488.23529411764707</v>
      </c>
      <c r="E78">
        <v>25000</v>
      </c>
      <c r="F78">
        <v>8570.5608472647345</v>
      </c>
      <c r="G78">
        <f t="shared" si="1"/>
        <v>51.204819277108435</v>
      </c>
      <c r="H78" t="s">
        <v>237</v>
      </c>
      <c r="I78" t="s">
        <v>315</v>
      </c>
    </row>
    <row r="79" spans="1:9" x14ac:dyDescent="0.25">
      <c r="A79" t="s">
        <v>85</v>
      </c>
      <c r="B79" t="s">
        <v>163</v>
      </c>
      <c r="C79">
        <v>65000</v>
      </c>
      <c r="D79">
        <v>12950</v>
      </c>
      <c r="E79">
        <v>99950</v>
      </c>
      <c r="F79">
        <v>29714.33737178813</v>
      </c>
      <c r="G79">
        <f t="shared" si="1"/>
        <v>7.718146718146718</v>
      </c>
      <c r="H79" t="s">
        <v>238</v>
      </c>
      <c r="I79" t="s">
        <v>316</v>
      </c>
    </row>
  </sheetData>
  <hyperlinks>
    <hyperlink ref="J29" r:id="rId1" xr:uid="{7DB06F73-DFAD-4E14-A652-208D281F43FC}"/>
    <hyperlink ref="J4" r:id="rId2" xr:uid="{692A8E06-7ACF-4110-A60D-56208D7FEAC7}"/>
    <hyperlink ref="K4" r:id="rId3" xr:uid="{B8EFB67B-71C9-4A32-B086-F4FA7CBAD3C0}"/>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pc</cp:lastModifiedBy>
  <dcterms:created xsi:type="dcterms:W3CDTF">2025-08-13T08:12:26Z</dcterms:created>
  <dcterms:modified xsi:type="dcterms:W3CDTF">2025-08-13T09:19:18Z</dcterms:modified>
</cp:coreProperties>
</file>