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26D341E8-A264-4E9C-AC8A-1674E1F8FC53}"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81029"/>
</workbook>
</file>

<file path=xl/calcChain.xml><?xml version="1.0" encoding="utf-8"?>
<calcChain xmlns="http://schemas.openxmlformats.org/spreadsheetml/2006/main">
  <c r="F61" i="1" l="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<sst xmlns="http://schemas.openxmlformats.org/spreadsheetml/2006/main" count="249" uniqueCount="236">
  <si>
    <t>code</t>
  </si>
  <si>
    <t>name</t>
  </si>
  <si>
    <t>med</t>
  </si>
  <si>
    <t>min</t>
  </si>
  <si>
    <t>max</t>
  </si>
  <si>
    <t>std</t>
  </si>
  <si>
    <t>listOfPrices</t>
  </si>
  <si>
    <t>listOfNames</t>
  </si>
  <si>
    <t>17-111</t>
  </si>
  <si>
    <t>20 20 20</t>
  </si>
  <si>
    <t>[300000.0, 4890000.0, 29000000.0]</t>
  </si>
  <si>
    <t>['کود سه 20 مایع تری پرو فارمونتی NPK 20 20 20+TE - 10 لیتری', 'کود 20 20 20 NPK باواریا', 'کود سه بیست (NPK 20 20 20) کوالی مکس']</t>
  </si>
  <si>
    <t>17-113</t>
  </si>
  <si>
    <t>10 52 10</t>
  </si>
  <si>
    <t>[3960000.0, 32000000.0]</t>
  </si>
  <si>
    <t>['کود 10 52 10 NPK زیگلر آلمان', 'کود NPK 10 52 10 کوالی مکس']</t>
  </si>
  <si>
    <t>17-116</t>
  </si>
  <si>
    <t>15 5 30</t>
  </si>
  <si>
    <t>[50030000.0]</t>
  </si>
  <si>
    <t>['کود NPK 15 5 30 زیگلر']</t>
  </si>
  <si>
    <t>17-129</t>
  </si>
  <si>
    <t>18 18 18</t>
  </si>
  <si>
    <t>[4890000.0]</t>
  </si>
  <si>
    <t>['کود NPK 18 18 18 باواریا']</t>
  </si>
  <si>
    <t>17-139</t>
  </si>
  <si>
    <t>19 6 20</t>
  </si>
  <si>
    <t>['کود NPK 19 6 20 باواریا']</t>
  </si>
  <si>
    <t>11-111</t>
  </si>
  <si>
    <t>اوره</t>
  </si>
  <si>
    <t>[68000.0, 70000.0, 116000.0, 175000.0, 191000.0]</t>
  </si>
  <si>
    <t>['کود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t>
  </si>
  <si>
    <t>11-115</t>
  </si>
  <si>
    <t>سولفات آمونیوم</t>
  </si>
  <si>
    <t>[44250.0, 44800.0, 68000.0, 98000.0, 106000.0]</t>
  </si>
  <si>
    <t>['سولفات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t>
  </si>
  <si>
    <t>11-116</t>
  </si>
  <si>
    <t>اوره با پوشش گوگردی</t>
  </si>
  <si>
    <t>[116000.0, 392000.0]</t>
  </si>
  <si>
    <t>['اوره با پوشش گوگردی', 'اوره با پوشش گوگردی']</t>
  </si>
  <si>
    <t>11-119</t>
  </si>
  <si>
    <t xml:space="preserve"> فسفات آمونیوم</t>
  </si>
  <si>
    <t>[180000.0, 181600.0, 222000.0, 224000.0, 300000.0, 308000.0]</t>
  </si>
  <si>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t>
  </si>
  <si>
    <t>11-120</t>
  </si>
  <si>
    <t>نیترات کلسیم</t>
  </si>
  <si>
    <t>[92500.0, 111800.0, 150000.0, 150000.0, 172800.0]</t>
  </si>
  <si>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t>
  </si>
  <si>
    <t>11-121</t>
  </si>
  <si>
    <t>نیترات پتاسیم</t>
  </si>
  <si>
    <t>[258800.0, 273000.0]</t>
  </si>
  <si>
    <t>['کود تقویتی نیترات پتاسیم K+S آلمان پودر 25 کیلوگرم کیسه', 'نیترات پتاسیم و کربن فعال و گوگرد پودری فلات کالا کد NCG1K وزن 1 کیلوگرم مجموعه 3 عددی']</t>
  </si>
  <si>
    <t>12-111</t>
  </si>
  <si>
    <t>اوره فسفات</t>
  </si>
  <si>
    <t>[175000.0, 191000.0, 280000.0, 2380000.0]</t>
  </si>
  <si>
    <t>['کود مایع اوره فسفات طلایه سبزکاوشان 20 لیتری', 'کود اوره فسفات (NP 18-44) فلوریش 10 کیلو', 'اوره فسفات اگریفرت مکزیک 25 کیلوگرم', 'کود اوره فسفات زیگلر']</t>
  </si>
  <si>
    <t>12-112</t>
  </si>
  <si>
    <t>مونو فسفات پتاسیم</t>
  </si>
  <si>
    <t>[83500.0, 100000.0, 210000.0, 300000.0, 412500.0]</t>
  </si>
  <si>
    <t>['کود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</si>
  <si>
    <t>12-114</t>
  </si>
  <si>
    <t>فسفیت پتاسیم</t>
  </si>
  <si>
    <t>[780000.0, 782800.0, 897000.0, 972000.0]</t>
  </si>
  <si>
    <t>['فسفیت پتاسیم (کوئین) سبزگل 1 لیتری', 'فسفیت پتاسیم اسپانیا 1 لیتری آرتاگرو', 'کود فسفیت پتاسیم (فوس وید ) سوپر مکس 1 لیتر', 'کود فسفیت پتاسیم (پروتکت) ردسا 1 لیتری']</t>
  </si>
  <si>
    <t>12-121</t>
  </si>
  <si>
    <t xml:space="preserve"> سوپر فسفات ساده</t>
  </si>
  <si>
    <t>[116000.0, 152000.0]</t>
  </si>
  <si>
    <t>['سوپر فسفات ساده', 'سوپر فسفات ساده']</t>
  </si>
  <si>
    <t>12-122</t>
  </si>
  <si>
    <t>مونو آمونیوم فسفات</t>
  </si>
  <si>
    <t>[222000.0, 300000.0, 308000.0]</t>
  </si>
  <si>
    <t>['کود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t>
  </si>
  <si>
    <t>12-124</t>
  </si>
  <si>
    <t>فسفات گوگردی</t>
  </si>
  <si>
    <t>[17000.0, 170000.0]</t>
  </si>
  <si>
    <t>['فسفات گوگردی', 'فسفات گوگردی']</t>
  </si>
  <si>
    <t>13-111</t>
  </si>
  <si>
    <t>سولفات پتاسیم</t>
  </si>
  <si>
    <t>[69200.0, 72000.0, 95000.0, 105000.0, 142000.0, 150000.0, 168000.0]</t>
  </si>
  <si>
    <t>['سولفات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t>
  </si>
  <si>
    <t>13-113</t>
  </si>
  <si>
    <t>مونو پتاسیم فسفات</t>
  </si>
  <si>
    <t>13-114</t>
  </si>
  <si>
    <t>پتاسیم نیترات</t>
  </si>
  <si>
    <t>13-115</t>
  </si>
  <si>
    <t>پتاسیم منیزیم</t>
  </si>
  <si>
    <t>[142000.0]</t>
  </si>
  <si>
    <t>['سولفات پتاسیم منیزیم 10/4']</t>
  </si>
  <si>
    <t>13-117</t>
  </si>
  <si>
    <t>پتاسه گرانوله</t>
  </si>
  <si>
    <t>[102000.0]</t>
  </si>
  <si>
    <t>['پتاسه گرانوله30%']</t>
  </si>
  <si>
    <t>13-119</t>
  </si>
  <si>
    <t xml:space="preserve"> پتاسیم سیلیکات</t>
  </si>
  <si>
    <t>[236000.0, 240000.0]</t>
  </si>
  <si>
    <t>['سیلگارد (سیلیکات پتاسیم) ریحان 5 لیتری', 'سیلیکات پتاسیم(5لیتری)']</t>
  </si>
  <si>
    <t>14-111</t>
  </si>
  <si>
    <t>کلسیم نیترات</t>
  </si>
  <si>
    <t>14-112</t>
  </si>
  <si>
    <t>کلات کلسیم</t>
  </si>
  <si>
    <t>[162500.0, 164000.0]</t>
  </si>
  <si>
    <t>['کود کلاته کلسیم-بور-روی مایع کلبومکس فارمونتی CalboMax Pharmonti - 20 لیتری', 'کود کلاته کلسیم-بور-روی مایع کلبومکس فارمونتی CalboMax Pharmonti - 10 لیتری']</t>
  </si>
  <si>
    <t>14-117</t>
  </si>
  <si>
    <t>کلسیم منیزیم</t>
  </si>
  <si>
    <t>[157500.0, 1050000.0]</t>
  </si>
  <si>
    <t>['کلسیم منیزیم', 'کود کشاورزی کلسیم منیزیم برند زایز Zeiz انگلستان حجم 1 لیتری']</t>
  </si>
  <si>
    <t>15-111</t>
  </si>
  <si>
    <t>سولفات منیزیم</t>
  </si>
  <si>
    <t>[23200.0, 23600.0, 30000.0, 54000.0, 95000.0, 142000.0]</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</si>
  <si>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t>
  </si>
  <si>
    <t>15-112</t>
  </si>
  <si>
    <t>نیترات منیزیم</t>
  </si>
  <si>
    <t>[2125000.0]</t>
  </si>
  <si>
    <t>['کود نیترات منیزیم کوالی مکس']</t>
  </si>
  <si>
    <t>15-115</t>
  </si>
  <si>
    <t xml:space="preserve"> پتاس منیزیم</t>
  </si>
  <si>
    <t>16-111</t>
  </si>
  <si>
    <t>گوگرد پودری</t>
  </si>
  <si>
    <t>[2200.0, 76000.0, 273000.0]</t>
  </si>
  <si>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</si>
  <si>
    <t>16-112</t>
  </si>
  <si>
    <t>گوگرد گرانوله</t>
  </si>
  <si>
    <t>[38000.0, 91000.0]</t>
  </si>
  <si>
    <t>['گوگرد آلی گرانوله', 'گوگرد گرانوله بنتونیت دار 75%']</t>
  </si>
  <si>
    <t>16-114</t>
  </si>
  <si>
    <t>گوگرد مایع</t>
  </si>
  <si>
    <t>[10250.0, 13000.0, 13000.0, 13314.55, 40000.0, 60000.0, 66000.0, 72000.0, 100000.0, 110000.0, 120000.0, 176000.0]</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</si>
  <si>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t>
  </si>
  <si>
    <t>16-115</t>
  </si>
  <si>
    <t>گوگرد بنتونیت دار</t>
  </si>
  <si>
    <t>[91000.0]</t>
  </si>
  <si>
    <t>['گوگرد گرانوله بنتونیت دار 75%']</t>
  </si>
  <si>
    <t>18-113</t>
  </si>
  <si>
    <t>چالکود</t>
  </si>
  <si>
    <t>[22440.0, 118800.0, 134000.0]</t>
  </si>
  <si>
    <t>['چالکود پارسی لئون اس 25 کیلوگرم', 'چالکود فرموکمپلکس همراه با گوگرد و عناصر ریزمغذی 25 کیلوگرم', 'کود تقویتی چالکود نووانات گرانول K+S آلمان 25کیلوگرم کیسه']</t>
  </si>
  <si>
    <t>19-112</t>
  </si>
  <si>
    <t>سولفات منگنز</t>
  </si>
  <si>
    <t>[7000.0, 112800.0, 850000.0]</t>
  </si>
  <si>
    <t>['کود تغذیه\u200cای سولفات منگنز | تولید چین | کیسه 25 کیلویی', 'کود سولفات منگنز کنجاله ساز (25 کیلویی)', 'سولفات منگنز چینی']</t>
  </si>
  <si>
    <t>19-114</t>
  </si>
  <si>
    <t>آهن منگنز روی</t>
  </si>
  <si>
    <t>[7500000.0]</t>
  </si>
  <si>
    <t>['کود اسپانیایی ریز مغذی سه گانه آهن روی منگنز 1 لیتری']</t>
  </si>
  <si>
    <t>19-116</t>
  </si>
  <si>
    <t>سولفات آهن</t>
  </si>
  <si>
    <t>[23200.0, 27600.0, 120000.0]</t>
  </si>
  <si>
    <t>['کود سولفات آهن کنجاله ساز (25 کیلویی)', 'کود سولفات آهن 25کیلویی کنجاله ساز کیفیت تضمین شده', 'سولفات آهن 17 درصد']</t>
  </si>
  <si>
    <t>19-117</t>
  </si>
  <si>
    <t>کلات آهن</t>
  </si>
  <si>
    <t>[1138000.0, 1900000.0, 1956000.0]</t>
  </si>
  <si>
    <t>['کود آهن 5 کیلوگرمی کلات اورتو 4.8 زایز انگلستان', 'کلات آهن', 'کود باسشن کلات آهن 1 کیلویی']</t>
  </si>
  <si>
    <t>19-120</t>
  </si>
  <si>
    <t xml:space="preserve"> کلات روی</t>
  </si>
  <si>
    <t>[162500.0, 164000.0, 210000.0]</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</si>
  <si>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</si>
  <si>
    <t>19-121</t>
  </si>
  <si>
    <t>سولفات روی</t>
  </si>
  <si>
    <t>[245200.0, 342500.0, 430000.0, 640000.0, 640000.0]</t>
  </si>
  <si>
    <t>['سولفات روی 20 درصد', 'کود سولفات روی 34% وپروفرت هلند 2 کیلویی', 'سولفات روی پودری 34%', 'سولفات روی گرانوله 22 درصد', 'سولفات روی پودری 22 درصد']</t>
  </si>
  <si>
    <t>19-124</t>
  </si>
  <si>
    <t>فسفات روی</t>
  </si>
  <si>
    <t>[111600.0]</t>
  </si>
  <si>
    <t>['کود دی آمونیوم فسفات 4 لیتری (فسفر بالا رویش 2)']</t>
  </si>
  <si>
    <t>19-129</t>
  </si>
  <si>
    <t>کلات بور</t>
  </si>
  <si>
    <t>19-132</t>
  </si>
  <si>
    <t>سولفات مس</t>
  </si>
  <si>
    <t>[246000.0, 247000.0, 5926000.0]</t>
  </si>
  <si>
    <t>['کات کبود (سولفات مس شکری)10کیلو گرم', 'کات کبود (سولفات مس)5 کیلو گرم', 'کود سولفات مس فرمولایف']</t>
  </si>
  <si>
    <t>19-141</t>
  </si>
  <si>
    <t>کلر</t>
  </si>
  <si>
    <t>[540000.0, 560000.0, 660000.0]</t>
  </si>
  <si>
    <t>['سم دیکلروس اسپیدارپردیس 1 لیتر', 'سم علف کش اختصاصی ذرت استوکلر سورپاس مایع ملی شیمی کشاورز 1 لیتر کوئکس', 'اکسی کلرور مس 35 درصد پودر وتابل 1کیلوی']</t>
  </si>
  <si>
    <t>19-143</t>
  </si>
  <si>
    <t>میکرومیکس</t>
  </si>
  <si>
    <t>[93000.0, 125000.0, 440000.0]</t>
  </si>
  <si>
    <t>['کود میکرومیکس 25کیلویی آگروفر', 'میکرومیکس فارهام - 10 کیلویی حاوی عناصر ریزمغذی', 'میکرومیکس 1 کیلوگرمی فلوریش']</t>
  </si>
  <si>
    <t>19-145</t>
  </si>
  <si>
    <t>سیلیکات پتاسیم</t>
  </si>
  <si>
    <t>20-112</t>
  </si>
  <si>
    <t>مرغی</t>
  </si>
  <si>
    <t>[26100.0, 41000.0, 47500.0, 47500.0, 49900.0, 50000.0, 50000.0, 50000.0, 54950.0, 56000.0, 60000.0, 65000.0, 65280.0]</t>
  </si>
  <si>
    <t>['کود مرغی مایع مهاب شیمی 10، 20 لیتری',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t>
  </si>
  <si>
    <t>21-111</t>
  </si>
  <si>
    <t>پلیت مرغی</t>
  </si>
  <si>
    <t>[9100.0, 9100.0, 158800.0]</t>
  </si>
  <si>
    <t>['کود پلیت مرغی 25 کیلوگرمی', 'کود پلیت مرغی زرین مهر کیمیا 25 کیلوگرمی', 'گابری گلدن(پلیت کود مرغی غنی شده)25کیلویی']</t>
  </si>
  <si>
    <t>21-112</t>
  </si>
  <si>
    <t>مرغی مایع</t>
  </si>
  <si>
    <t>[47500.0, 47500.0, 49900.0, 50000.0, 50000.0, 60000.0, 65280.0]</t>
  </si>
  <si>
    <t>['کود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t>
  </si>
  <si>
    <t>21-113</t>
  </si>
  <si>
    <t>ماهی</t>
  </si>
  <si>
    <t>[52500.0, 55000.0, 60000.0, 80000.0, 80000.0]</t>
  </si>
  <si>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</si>
  <si>
    <t>21-115</t>
  </si>
  <si>
    <t>کمپوست</t>
  </si>
  <si>
    <t>[3000.0, 3500.0, 4000.0, 5000.0, 6480.0, 6937.5, 8400.0, 14166.666666666666, 14400.0]</t>
  </si>
  <si>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t>
  </si>
  <si>
    <t>21-116</t>
  </si>
  <si>
    <t>ورمی کمپوست</t>
  </si>
  <si>
    <t>[3500.0, 4000.0, 5000.0, 6480.0, 6937.5]</t>
  </si>
  <si>
    <t>['کود ورمی کمپوست غنی شده', 'کود ورمی کمپوست سوپر PLS', 'ورمی کمپوست فله 2000 کیلویی', 'ورمی کمپوست 25 کیلویی ماگرو', 'کود ورمی کمپوست باغبان - 40 لیتری']</t>
  </si>
  <si>
    <t>21-117</t>
  </si>
  <si>
    <t>کود سبز</t>
  </si>
  <si>
    <t>[54000.0, 175000.0, 230000.0]</t>
  </si>
  <si>
    <t>['کود اسید انفوریک مایع مگافرتیل ان اس 10 لیتری سبز محصول داتیس', 'کود مایع اوره فسفات طلایه سبزکاوشان 20 لیتری', 'کود فسفر بالا 10-52-10 آرمان سبز آدینه 10 کیلوگرم']</t>
  </si>
  <si>
    <t>21-118</t>
  </si>
  <si>
    <t>اسید هیومیک</t>
  </si>
  <si>
    <t>[82280.0, 88176.0, 90000.0, 101640.0, 105000.0, 110000.0, 116000.0, 120000.0, 147250.0, 150000.0, 150000.0, 179850.0, 190000.0, 194304.0, 200000.0, 218000.0, 220000.0, 228360.0, 229000.0, 229000.0, 230000.0, 231000.0]</t>
  </si>
  <si>
    <t>['کود هیومیک اسید و فولویک اسید پابرا 5 لیتر', 'کود هیومیک اسید گرانول هیومولایف 25 کیلوگرم', 'هیومیک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t>
  </si>
  <si>
    <t>21-119</t>
  </si>
  <si>
    <t>اسید آمینه</t>
  </si>
  <si>
    <t>[970000.0, 1000000.0, 18400000.0]</t>
  </si>
  <si>
    <t>['کود مایع اسید آمینه ایزابیون سینجنتا حجم 1 لیتر', 'اسید آمینه کیلیترین 1 لیتری - 1', 'اسید آمینه کیلیترین 1 لیتری - 20']</t>
  </si>
  <si>
    <t>21-120</t>
  </si>
  <si>
    <t>فولیک اسید</t>
  </si>
  <si>
    <t>[439790.0]</t>
  </si>
  <si>
    <t>['گابری هیومیک مایع (اسید هیومیک + فولیک)(20لیتری)']</t>
  </si>
  <si>
    <t>21-121</t>
  </si>
  <si>
    <t>گوگرد آلی</t>
  </si>
  <si>
    <t>[38000.0]</t>
  </si>
  <si>
    <t>['گوگرد آلی گرانوله']</t>
  </si>
  <si>
    <t>22-111</t>
  </si>
  <si>
    <t>جلبک دریایی</t>
  </si>
  <si>
    <t>[850000.0, 899000.0, 950000.0, 1220000.0, 1595000.0]</t>
  </si>
  <si>
    <t>['کود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t>
  </si>
  <si>
    <t>99-113</t>
  </si>
  <si>
    <t>ضد شوری</t>
  </si>
  <si>
    <t>[182500.0, 210672.0]</t>
  </si>
  <si>
    <t>['کود تقویتی اصلاح کننده خاک و ضد شوری پرک سویل PERK SOIL مایع اگریکم AGRIKEM ترکیه 20 لیتر گالن', 'کود ضدشوری فرمولایف مدل دسالت 5 لیتر']</t>
  </si>
  <si>
    <t>99-115</t>
  </si>
  <si>
    <t>اصلاح کننده خاک</t>
  </si>
  <si>
    <t>[182500.0, 1200000.0]</t>
  </si>
  <si>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</si>
  <si>
    <t>https://torob.com/p/154926ff-9368-49b2-87b2-4ad94a3c1dec/%DA%A9%D9%88%D8%AF-%D8%A7%D9%84%DB%8C-%D8%A7%D9%88%D8%B1%D9%87-%D9%81%D8%B3%D9%81%D8%A7%D8%AA-np-%DA%A9%DB%8C%D9%84%DB%8C%D8%AA%D8%B1%DB%8C%D9%86-1-%D9%84%DB%8C%D8%AA%D8%B1%DB%8C-20/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</si>
</sst>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4" x14ac:knownFonts="1">
    <font>
      <sz val="11"/>
      <color theme="1"/>
      <name val="Calibri"/>
      <family val="2"/>
      <scheme val="minor"/>
    </font>
    <font>
      <b/>
      <sz val="11"/>
      <name val="Calibri"/>
      <family val="2"/>
    </font>
    <font>
      <u/>
      <sz val="11"/>
      <color theme="10"/>
      <name val="Calibri"/>
      <family val="2"/>
      <scheme val="minor"/>
    </font>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xf numFmtId="43" fontId="3" fillId="0" borderId="0" applyFon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2" borderId="0" xfId="0" applyFill="1"/>
    <xf numFmtId="0" fontId="2" fillId="2" borderId="0" xfId="1" applyFill="1"/>
    <xf numFmtId="165" fontId="1" fillId="0" borderId="1" xfId="2" applyNumberFormat="1" applyFont="1" applyBorder="1" applyAlignment="1">
      <alignment horizontal="center" vertical="top"/>
    </xf>
    <xf numFmtId="165" fontId="0" fillId="0" borderId="0" xfId="2" applyNumberFormat="1" applyFont="1"/>
    <xf numFmtId="165" fontId="0" fillId="2" borderId="0" xfId="2" applyNumberFormat="1" applyFont="1" applyFill="1"/>
  </cellXfs>
  <cellStyles count="3">
    <cellStyle name="Comma" xfId="2" builtinId="3"/>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orob.com/p/154926ff-9368-49b2-87b2-4ad94a3c1dec/%DA%A9%D9%88%D8%AF-%D8%A7%D9%84%DB%8C-%D8%A7%D9%88%D8%B1%D9%87-%D9%81%D8%B3%D9%81%D8%A7%D8%AA-np-%DA%A9%DB%8C%D9%84%DB%8C%D8%AA%D8%B1%DB%8C%D9%86-1-%D9%84%DB%8C%D8%AA%D8%B1%DB%8C-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tabSelected="1" workbookViewId="0">
      <selection activeCell="E13" sqref="E13"/>
    </sheetView>
  </sheetViews>
  <sheetFormatPr defaultRowHeight="15" x14ac:dyDescent="0.25"/>
  <cols>
    <col min="2" max="2" width="16.7109375" customWidth="1"/>
    <col min="3" max="5" width="14.28515625" style="5" bestFit="1" customWidth="1"/>
    <col min="6" max="6" width="9.28515625" style="5" bestFit="1" customWidth="1"/>
    <col min="7" max="7" width="14.28515625" style="5" bestFit="1" customWidth="1"/>
    <col min="8" max="8" width="45.28515625" customWidth="1"/>
    <col min="9" max="9" width="154.5703125" customWidth="1"/>
  </cols>
  <sheetData>
    <row r="1" spans="1:10" x14ac:dyDescent="0.25">
      <c r="A1" s="1" t="s">
        <v>0</v>
      </c>
      <c r="B1" s="1" t="s">
        <v>1</v>
      </c>
      <c r="C1" s="4" t="s">
        <v>2</v>
      </c>
      <c r="D1" s="4" t="s">
        <v>3</v>
      </c>
      <c r="E1" s="4" t="s">
        <v>4</v>
      </c>
      <c r="F1" s="4"/>
      <c r="G1" s="4" t="s">
        <v>5</v>
      </c>
      <c r="H1" s="1" t="s">
        <v>6</v>
      </c>
      <c r="I1" s="1" t="s">
        <v>7</v>
      </c>
    </row>
    <row r="2" spans="1:10" x14ac:dyDescent="0.25">
      <c r="A2" t="s">
        <v>8</v>
      </c>
      <c r="B2" t="s">
        <v>9</v>
      </c>
      <c r="C2" s="5">
        <v>4890000</v>
      </c>
      <c r="D2" s="5">
        <v>300000</v>
      </c>
      <c r="E2" s="5">
        <v>29000000</v>
      </c>
      <c r="F2" s="5">
        <f>E2/C2</f>
        <v>5.9304703476482619</v>
      </c>
      <c r="G2" s="5">
        <v>15416712.79272379</v>
      </c>
      <c r="H2" t="s">
        <v>10</v>
      </c>
      <c r="I2" t="s">
        <v>11</v>
      </c>
    </row>
    <row r="3" spans="1:10" x14ac:dyDescent="0.25">
      <c r="A3" t="s">
        <v>12</v>
      </c>
      <c r="B3" t="s">
        <v>13</v>
      </c>
      <c r="C3" s="5">
        <v>17980000</v>
      </c>
      <c r="D3" s="5">
        <v>3960000</v>
      </c>
      <c r="E3" s="5">
        <v>32000000</v>
      </c>
      <c r="F3" s="5">
        <f t="shared" ref="F3:F61" si="0">E3/C3</f>
        <v>1.7797552836484982</v>
      </c>
      <c r="G3" s="5">
        <v>19827274.144470789</v>
      </c>
      <c r="H3" t="s">
        <v>14</v>
      </c>
      <c r="I3" t="s">
        <v>15</v>
      </c>
    </row>
    <row r="4" spans="1:10" x14ac:dyDescent="0.25">
      <c r="A4" t="s">
        <v>16</v>
      </c>
      <c r="B4" t="s">
        <v>17</v>
      </c>
      <c r="C4" s="5">
        <v>50030000</v>
      </c>
      <c r="D4" s="5">
        <v>50030000</v>
      </c>
      <c r="E4" s="5">
        <v>50030000</v>
      </c>
      <c r="F4" s="5">
        <f t="shared" si="0"/>
        <v>1</v>
      </c>
      <c r="H4" t="s">
        <v>18</v>
      </c>
      <c r="I4" t="s">
        <v>19</v>
      </c>
    </row>
    <row r="5" spans="1:10" x14ac:dyDescent="0.25">
      <c r="A5" t="s">
        <v>20</v>
      </c>
      <c r="B5" t="s">
        <v>21</v>
      </c>
      <c r="C5" s="5">
        <v>4890000</v>
      </c>
      <c r="D5" s="5">
        <v>4890000</v>
      </c>
      <c r="E5" s="5">
        <v>4890000</v>
      </c>
      <c r="F5" s="5">
        <f t="shared" si="0"/>
        <v>1</v>
      </c>
      <c r="H5" t="s">
        <v>22</v>
      </c>
      <c r="I5" t="s">
        <v>23</v>
      </c>
    </row>
    <row r="6" spans="1:10" x14ac:dyDescent="0.25">
      <c r="A6" t="s">
        <v>24</v>
      </c>
      <c r="B6" t="s">
        <v>25</v>
      </c>
      <c r="C6" s="5">
        <v>4890000</v>
      </c>
      <c r="D6" s="5">
        <v>4890000</v>
      </c>
      <c r="E6" s="5">
        <v>4890000</v>
      </c>
      <c r="F6" s="5">
        <f t="shared" si="0"/>
        <v>1</v>
      </c>
      <c r="H6" t="s">
        <v>22</v>
      </c>
      <c r="I6" t="s">
        <v>26</v>
      </c>
    </row>
    <row r="7" spans="1:10" x14ac:dyDescent="0.25">
      <c r="A7" t="s">
        <v>27</v>
      </c>
      <c r="B7" t="s">
        <v>28</v>
      </c>
      <c r="C7" s="5">
        <v>116000</v>
      </c>
      <c r="D7" s="5">
        <v>68000</v>
      </c>
      <c r="E7" s="5">
        <v>191000</v>
      </c>
      <c r="F7" s="5">
        <f t="shared" si="0"/>
        <v>1.646551724137931</v>
      </c>
      <c r="G7" s="5">
        <v>57458.680806297671</v>
      </c>
      <c r="H7" t="s">
        <v>29</v>
      </c>
      <c r="I7" t="s">
        <v>30</v>
      </c>
    </row>
    <row r="8" spans="1:10" x14ac:dyDescent="0.25">
      <c r="A8" t="s">
        <v>31</v>
      </c>
      <c r="B8" t="s">
        <v>32</v>
      </c>
      <c r="C8" s="5">
        <v>68000</v>
      </c>
      <c r="D8" s="5">
        <v>44250</v>
      </c>
      <c r="E8" s="5">
        <v>106000</v>
      </c>
      <c r="F8" s="5">
        <f t="shared" si="0"/>
        <v>1.5588235294117647</v>
      </c>
      <c r="G8" s="5">
        <v>28972.754442751899</v>
      </c>
      <c r="H8" t="s">
        <v>33</v>
      </c>
      <c r="I8" t="s">
        <v>34</v>
      </c>
    </row>
    <row r="9" spans="1:10" x14ac:dyDescent="0.25">
      <c r="A9" t="s">
        <v>35</v>
      </c>
      <c r="B9" t="s">
        <v>36</v>
      </c>
      <c r="C9" s="5">
        <v>254000</v>
      </c>
      <c r="D9" s="5">
        <v>116000</v>
      </c>
      <c r="E9" s="5">
        <v>392000</v>
      </c>
      <c r="F9" s="5">
        <f t="shared" si="0"/>
        <v>1.5433070866141732</v>
      </c>
      <c r="G9" s="5">
        <v>195161.4716074871</v>
      </c>
      <c r="H9" t="s">
        <v>37</v>
      </c>
      <c r="I9" t="s">
        <v>38</v>
      </c>
    </row>
    <row r="10" spans="1:10" x14ac:dyDescent="0.25">
      <c r="A10" t="s">
        <v>39</v>
      </c>
      <c r="B10" t="s">
        <v>40</v>
      </c>
      <c r="C10" s="5">
        <v>223000</v>
      </c>
      <c r="D10" s="5">
        <v>180000</v>
      </c>
      <c r="E10" s="5">
        <v>308000</v>
      </c>
      <c r="F10" s="5">
        <f t="shared" si="0"/>
        <v>1.3811659192825112</v>
      </c>
      <c r="G10" s="5">
        <v>56063.059733363349</v>
      </c>
      <c r="H10" t="s">
        <v>41</v>
      </c>
      <c r="I10" t="s">
        <v>42</v>
      </c>
    </row>
    <row r="11" spans="1:10" x14ac:dyDescent="0.25">
      <c r="A11" t="s">
        <v>43</v>
      </c>
      <c r="B11" t="s">
        <v>44</v>
      </c>
      <c r="C11" s="5">
        <v>150000</v>
      </c>
      <c r="D11" s="5">
        <v>92500</v>
      </c>
      <c r="E11" s="5">
        <v>172800</v>
      </c>
      <c r="F11" s="5">
        <f t="shared" si="0"/>
        <v>1.1519999999999999</v>
      </c>
      <c r="G11" s="5">
        <v>32490.18313275565</v>
      </c>
      <c r="H11" t="s">
        <v>45</v>
      </c>
      <c r="I11" t="s">
        <v>46</v>
      </c>
    </row>
    <row r="12" spans="1:10" x14ac:dyDescent="0.25">
      <c r="A12" t="s">
        <v>47</v>
      </c>
      <c r="B12" t="s">
        <v>48</v>
      </c>
      <c r="C12" s="5">
        <v>265900</v>
      </c>
      <c r="D12" s="5">
        <v>258800</v>
      </c>
      <c r="E12" s="5">
        <v>273000</v>
      </c>
      <c r="F12" s="5">
        <f t="shared" si="0"/>
        <v>1.0267017675817978</v>
      </c>
      <c r="G12" s="5">
        <v>10040.91629284897</v>
      </c>
      <c r="H12" t="s">
        <v>49</v>
      </c>
      <c r="I12" t="s">
        <v>50</v>
      </c>
    </row>
    <row r="13" spans="1:10" s="2" customFormat="1" x14ac:dyDescent="0.25">
      <c r="A13" s="2" t="s">
        <v>51</v>
      </c>
      <c r="B13" s="2" t="s">
        <v>52</v>
      </c>
      <c r="C13" s="6">
        <v>235500</v>
      </c>
      <c r="D13" s="6">
        <v>175000</v>
      </c>
      <c r="E13" s="6">
        <v>2380000</v>
      </c>
      <c r="F13" s="6">
        <f t="shared" si="0"/>
        <v>10.106157112526539</v>
      </c>
      <c r="G13" s="6">
        <v>1083318.512719136</v>
      </c>
      <c r="H13" s="2" t="s">
        <v>53</v>
      </c>
      <c r="I13" s="2" t="s">
        <v>54</v>
      </c>
      <c r="J13" s="3" t="s">
        <v>235</v>
      </c>
    </row>
    <row r="14" spans="1:10" x14ac:dyDescent="0.25">
      <c r="A14" t="s">
        <v>55</v>
      </c>
      <c r="B14" t="s">
        <v>56</v>
      </c>
      <c r="C14" s="5">
        <v>210000</v>
      </c>
      <c r="D14" s="5">
        <v>83500</v>
      </c>
      <c r="E14" s="5">
        <v>412500</v>
      </c>
      <c r="F14" s="5">
        <f t="shared" si="0"/>
        <v>1.9642857142857142</v>
      </c>
      <c r="G14" s="5">
        <v>138366.63253834</v>
      </c>
      <c r="H14" t="s">
        <v>57</v>
      </c>
      <c r="I14" t="s">
        <v>58</v>
      </c>
    </row>
    <row r="15" spans="1:10" x14ac:dyDescent="0.25">
      <c r="A15" t="s">
        <v>59</v>
      </c>
      <c r="B15" t="s">
        <v>60</v>
      </c>
      <c r="C15" s="5">
        <v>839900</v>
      </c>
      <c r="D15" s="5">
        <v>780000</v>
      </c>
      <c r="E15" s="5">
        <v>972000</v>
      </c>
      <c r="F15" s="5">
        <f t="shared" si="0"/>
        <v>1.1572806286462674</v>
      </c>
      <c r="G15" s="5">
        <v>93552.177954337327</v>
      </c>
      <c r="H15" t="s">
        <v>61</v>
      </c>
      <c r="I15" t="s">
        <v>62</v>
      </c>
    </row>
    <row r="16" spans="1:10" x14ac:dyDescent="0.25">
      <c r="A16" t="s">
        <v>63</v>
      </c>
      <c r="B16" t="s">
        <v>64</v>
      </c>
      <c r="C16" s="5">
        <v>134000</v>
      </c>
      <c r="D16" s="5">
        <v>116000</v>
      </c>
      <c r="E16" s="5">
        <v>152000</v>
      </c>
      <c r="F16" s="5">
        <f t="shared" si="0"/>
        <v>1.1343283582089552</v>
      </c>
      <c r="G16" s="5">
        <v>25455.844122715709</v>
      </c>
      <c r="H16" t="s">
        <v>65</v>
      </c>
      <c r="I16" t="s">
        <v>66</v>
      </c>
    </row>
    <row r="17" spans="1:9" x14ac:dyDescent="0.25">
      <c r="A17" t="s">
        <v>67</v>
      </c>
      <c r="B17" t="s">
        <v>68</v>
      </c>
      <c r="C17" s="5">
        <v>300000</v>
      </c>
      <c r="D17" s="5">
        <v>222000</v>
      </c>
      <c r="E17" s="5">
        <v>308000</v>
      </c>
      <c r="F17" s="5">
        <f t="shared" si="0"/>
        <v>1.0266666666666666</v>
      </c>
      <c r="G17" s="5">
        <v>47511.402140258222</v>
      </c>
      <c r="H17" t="s">
        <v>69</v>
      </c>
      <c r="I17" t="s">
        <v>70</v>
      </c>
    </row>
    <row r="18" spans="1:9" x14ac:dyDescent="0.25">
      <c r="A18" t="s">
        <v>71</v>
      </c>
      <c r="B18" t="s">
        <v>72</v>
      </c>
      <c r="C18" s="5">
        <v>93500</v>
      </c>
      <c r="D18" s="5">
        <v>17000</v>
      </c>
      <c r="E18" s="5">
        <v>170000</v>
      </c>
      <c r="F18" s="5">
        <f t="shared" si="0"/>
        <v>1.8181818181818181</v>
      </c>
      <c r="G18" s="5">
        <v>108187.33752154181</v>
      </c>
      <c r="H18" t="s">
        <v>73</v>
      </c>
      <c r="I18" t="s">
        <v>74</v>
      </c>
    </row>
    <row r="19" spans="1:9" x14ac:dyDescent="0.25">
      <c r="A19" t="s">
        <v>75</v>
      </c>
      <c r="B19" t="s">
        <v>76</v>
      </c>
      <c r="C19" s="5">
        <v>105000</v>
      </c>
      <c r="D19" s="5">
        <v>69200</v>
      </c>
      <c r="E19" s="5">
        <v>168000</v>
      </c>
      <c r="F19" s="5">
        <f t="shared" si="0"/>
        <v>1.6</v>
      </c>
      <c r="G19" s="5">
        <v>39173.922326928026</v>
      </c>
      <c r="H19" t="s">
        <v>77</v>
      </c>
      <c r="I19" t="s">
        <v>78</v>
      </c>
    </row>
    <row r="20" spans="1:9" x14ac:dyDescent="0.25">
      <c r="A20" t="s">
        <v>79</v>
      </c>
      <c r="B20" t="s">
        <v>80</v>
      </c>
      <c r="C20" s="5">
        <v>210000</v>
      </c>
      <c r="D20" s="5">
        <v>83500</v>
      </c>
      <c r="E20" s="5">
        <v>412500</v>
      </c>
      <c r="F20" s="5">
        <f t="shared" si="0"/>
        <v>1.9642857142857142</v>
      </c>
      <c r="G20" s="5">
        <v>138366.63253834</v>
      </c>
      <c r="H20" t="s">
        <v>57</v>
      </c>
      <c r="I20" t="s">
        <v>58</v>
      </c>
    </row>
    <row r="21" spans="1:9" x14ac:dyDescent="0.25">
      <c r="A21" t="s">
        <v>81</v>
      </c>
      <c r="B21" t="s">
        <v>82</v>
      </c>
      <c r="C21" s="5">
        <v>265900</v>
      </c>
      <c r="D21" s="5">
        <v>258800</v>
      </c>
      <c r="E21" s="5">
        <v>273000</v>
      </c>
      <c r="F21" s="5">
        <f t="shared" si="0"/>
        <v>1.0267017675817978</v>
      </c>
      <c r="G21" s="5">
        <v>10040.91629284897</v>
      </c>
      <c r="H21" t="s">
        <v>49</v>
      </c>
      <c r="I21" t="s">
        <v>50</v>
      </c>
    </row>
    <row r="22" spans="1:9" x14ac:dyDescent="0.25">
      <c r="A22" t="s">
        <v>83</v>
      </c>
      <c r="B22" t="s">
        <v>84</v>
      </c>
      <c r="C22" s="5">
        <v>142000</v>
      </c>
      <c r="D22" s="5">
        <v>142000</v>
      </c>
      <c r="E22" s="5">
        <v>142000</v>
      </c>
      <c r="F22" s="5">
        <f t="shared" si="0"/>
        <v>1</v>
      </c>
      <c r="H22" t="s">
        <v>85</v>
      </c>
      <c r="I22" t="s">
        <v>86</v>
      </c>
    </row>
    <row r="23" spans="1:9" x14ac:dyDescent="0.25">
      <c r="A23" t="s">
        <v>87</v>
      </c>
      <c r="B23" t="s">
        <v>88</v>
      </c>
      <c r="C23" s="5">
        <v>102000</v>
      </c>
      <c r="D23" s="5">
        <v>102000</v>
      </c>
      <c r="E23" s="5">
        <v>102000</v>
      </c>
      <c r="F23" s="5">
        <f t="shared" si="0"/>
        <v>1</v>
      </c>
      <c r="H23" t="s">
        <v>89</v>
      </c>
      <c r="I23" t="s">
        <v>90</v>
      </c>
    </row>
    <row r="24" spans="1:9" x14ac:dyDescent="0.25">
      <c r="A24" t="s">
        <v>91</v>
      </c>
      <c r="B24" t="s">
        <v>92</v>
      </c>
      <c r="C24" s="5">
        <v>238000</v>
      </c>
      <c r="D24" s="5">
        <v>236000</v>
      </c>
      <c r="E24" s="5">
        <v>240000</v>
      </c>
      <c r="F24" s="5">
        <f t="shared" si="0"/>
        <v>1.0084033613445378</v>
      </c>
      <c r="G24" s="5">
        <v>2828.4271247461902</v>
      </c>
      <c r="H24" t="s">
        <v>93</v>
      </c>
      <c r="I24" t="s">
        <v>94</v>
      </c>
    </row>
    <row r="25" spans="1:9" x14ac:dyDescent="0.25">
      <c r="A25" t="s">
        <v>95</v>
      </c>
      <c r="B25" t="s">
        <v>96</v>
      </c>
      <c r="C25" s="5">
        <v>150000</v>
      </c>
      <c r="D25" s="5">
        <v>92500</v>
      </c>
      <c r="E25" s="5">
        <v>172800</v>
      </c>
      <c r="F25" s="5">
        <f t="shared" si="0"/>
        <v>1.1519999999999999</v>
      </c>
      <c r="G25" s="5">
        <v>32490.18313275565</v>
      </c>
      <c r="H25" t="s">
        <v>45</v>
      </c>
      <c r="I25" t="s">
        <v>46</v>
      </c>
    </row>
    <row r="26" spans="1:9" x14ac:dyDescent="0.25">
      <c r="A26" t="s">
        <v>97</v>
      </c>
      <c r="B26" t="s">
        <v>98</v>
      </c>
      <c r="C26" s="5">
        <v>163250</v>
      </c>
      <c r="D26" s="5">
        <v>162500</v>
      </c>
      <c r="E26" s="5">
        <v>164000</v>
      </c>
      <c r="F26" s="5">
        <f t="shared" si="0"/>
        <v>1.004594180704441</v>
      </c>
      <c r="G26" s="5">
        <v>1060.660171779821</v>
      </c>
      <c r="H26" t="s">
        <v>99</v>
      </c>
      <c r="I26" t="s">
        <v>100</v>
      </c>
    </row>
    <row r="27" spans="1:9" x14ac:dyDescent="0.25">
      <c r="A27" t="s">
        <v>101</v>
      </c>
      <c r="B27" t="s">
        <v>102</v>
      </c>
      <c r="C27" s="5">
        <v>603750</v>
      </c>
      <c r="D27" s="5">
        <v>157500</v>
      </c>
      <c r="E27" s="5">
        <v>1050000</v>
      </c>
      <c r="F27" s="5">
        <f t="shared" si="0"/>
        <v>1.7391304347826086</v>
      </c>
      <c r="G27" s="5">
        <v>631092.8022089937</v>
      </c>
      <c r="H27" t="s">
        <v>103</v>
      </c>
      <c r="I27" t="s">
        <v>104</v>
      </c>
    </row>
    <row r="28" spans="1:9" x14ac:dyDescent="0.25">
      <c r="A28" t="s">
        <v>105</v>
      </c>
      <c r="B28" t="s">
        <v>106</v>
      </c>
      <c r="C28" s="5">
        <v>42000</v>
      </c>
      <c r="D28" s="5">
        <v>23200</v>
      </c>
      <c r="E28" s="5">
        <v>142000</v>
      </c>
      <c r="F28" s="5">
        <f t="shared" si="0"/>
        <v>3.3809523809523809</v>
      </c>
      <c r="G28" s="5">
        <v>48070.905961922537</v>
      </c>
      <c r="H28" t="s">
        <v>107</v>
      </c>
      <c r="I28" t="s">
        <v>108</v>
      </c>
    </row>
    <row r="29" spans="1:9" x14ac:dyDescent="0.25">
      <c r="A29" t="s">
        <v>109</v>
      </c>
      <c r="B29" t="s">
        <v>110</v>
      </c>
      <c r="C29" s="5">
        <v>2125000</v>
      </c>
      <c r="D29" s="5">
        <v>2125000</v>
      </c>
      <c r="E29" s="5">
        <v>2125000</v>
      </c>
      <c r="F29" s="5">
        <f t="shared" si="0"/>
        <v>1</v>
      </c>
      <c r="H29" t="s">
        <v>111</v>
      </c>
      <c r="I29" t="s">
        <v>112</v>
      </c>
    </row>
    <row r="30" spans="1:9" x14ac:dyDescent="0.25">
      <c r="A30" t="s">
        <v>113</v>
      </c>
      <c r="B30" t="s">
        <v>114</v>
      </c>
      <c r="C30" s="5">
        <v>142000</v>
      </c>
      <c r="D30" s="5">
        <v>142000</v>
      </c>
      <c r="E30" s="5">
        <v>142000</v>
      </c>
      <c r="F30" s="5">
        <f t="shared" si="0"/>
        <v>1</v>
      </c>
      <c r="H30" t="s">
        <v>85</v>
      </c>
      <c r="I30" t="s">
        <v>86</v>
      </c>
    </row>
    <row r="31" spans="1:9" x14ac:dyDescent="0.25">
      <c r="A31" t="s">
        <v>115</v>
      </c>
      <c r="B31" t="s">
        <v>116</v>
      </c>
      <c r="C31" s="5">
        <v>76000</v>
      </c>
      <c r="D31" s="5">
        <v>2200</v>
      </c>
      <c r="E31" s="5">
        <v>273000</v>
      </c>
      <c r="F31" s="5">
        <f t="shared" si="0"/>
        <v>3.5921052631578947</v>
      </c>
      <c r="G31" s="5">
        <v>139992.90458210139</v>
      </c>
      <c r="H31" t="s">
        <v>117</v>
      </c>
      <c r="I31" t="s">
        <v>118</v>
      </c>
    </row>
    <row r="32" spans="1:9" x14ac:dyDescent="0.25">
      <c r="A32" t="s">
        <v>119</v>
      </c>
      <c r="B32" t="s">
        <v>120</v>
      </c>
      <c r="C32" s="5">
        <v>64500</v>
      </c>
      <c r="D32" s="5">
        <v>38000</v>
      </c>
      <c r="E32" s="5">
        <v>91000</v>
      </c>
      <c r="F32" s="5">
        <f t="shared" si="0"/>
        <v>1.4108527131782946</v>
      </c>
      <c r="G32" s="5">
        <v>37476.659402887017</v>
      </c>
      <c r="H32" t="s">
        <v>121</v>
      </c>
      <c r="I32" t="s">
        <v>122</v>
      </c>
    </row>
    <row r="33" spans="1:9" x14ac:dyDescent="0.25">
      <c r="A33" t="s">
        <v>123</v>
      </c>
      <c r="B33" t="s">
        <v>124</v>
      </c>
      <c r="C33" s="5">
        <v>63000</v>
      </c>
      <c r="D33" s="5">
        <v>10250</v>
      </c>
      <c r="E33" s="5">
        <v>176000</v>
      </c>
      <c r="F33" s="5">
        <f t="shared" si="0"/>
        <v>2.7936507936507935</v>
      </c>
      <c r="G33" s="5">
        <v>52533.638709771898</v>
      </c>
      <c r="H33" t="s">
        <v>125</v>
      </c>
      <c r="I33" t="s">
        <v>126</v>
      </c>
    </row>
    <row r="34" spans="1:9" x14ac:dyDescent="0.25">
      <c r="A34" t="s">
        <v>127</v>
      </c>
      <c r="B34" t="s">
        <v>128</v>
      </c>
      <c r="C34" s="5">
        <v>91000</v>
      </c>
      <c r="D34" s="5">
        <v>91000</v>
      </c>
      <c r="E34" s="5">
        <v>91000</v>
      </c>
      <c r="F34" s="5">
        <f t="shared" si="0"/>
        <v>1</v>
      </c>
      <c r="H34" t="s">
        <v>129</v>
      </c>
      <c r="I34" t="s">
        <v>130</v>
      </c>
    </row>
    <row r="35" spans="1:9" x14ac:dyDescent="0.25">
      <c r="A35" t="s">
        <v>131</v>
      </c>
      <c r="B35" t="s">
        <v>132</v>
      </c>
      <c r="C35" s="5">
        <v>118800</v>
      </c>
      <c r="D35" s="5">
        <v>22440</v>
      </c>
      <c r="E35" s="5">
        <v>134000</v>
      </c>
      <c r="F35" s="5">
        <f t="shared" si="0"/>
        <v>1.127946127946128</v>
      </c>
      <c r="G35" s="5">
        <v>60500.582917301988</v>
      </c>
      <c r="H35" t="s">
        <v>133</v>
      </c>
      <c r="I35" t="s">
        <v>134</v>
      </c>
    </row>
    <row r="36" spans="1:9" x14ac:dyDescent="0.25">
      <c r="A36" t="s">
        <v>135</v>
      </c>
      <c r="B36" t="s">
        <v>136</v>
      </c>
      <c r="C36" s="5">
        <v>112800</v>
      </c>
      <c r="D36" s="5">
        <v>7000</v>
      </c>
      <c r="E36" s="5">
        <v>850000</v>
      </c>
      <c r="F36" s="5">
        <f t="shared" si="0"/>
        <v>7.5354609929078018</v>
      </c>
      <c r="G36" s="5">
        <v>459221.52969273273</v>
      </c>
      <c r="H36" t="s">
        <v>137</v>
      </c>
      <c r="I36" t="s">
        <v>138</v>
      </c>
    </row>
    <row r="37" spans="1:9" x14ac:dyDescent="0.25">
      <c r="A37" t="s">
        <v>139</v>
      </c>
      <c r="B37" t="s">
        <v>140</v>
      </c>
      <c r="C37" s="5">
        <v>7500000</v>
      </c>
      <c r="D37" s="5">
        <v>7500000</v>
      </c>
      <c r="E37" s="5">
        <v>7500000</v>
      </c>
      <c r="F37" s="5">
        <f t="shared" si="0"/>
        <v>1</v>
      </c>
      <c r="H37" t="s">
        <v>141</v>
      </c>
      <c r="I37" t="s">
        <v>142</v>
      </c>
    </row>
    <row r="38" spans="1:9" x14ac:dyDescent="0.25">
      <c r="A38" t="s">
        <v>143</v>
      </c>
      <c r="B38" t="s">
        <v>144</v>
      </c>
      <c r="C38" s="5">
        <v>27600</v>
      </c>
      <c r="D38" s="5">
        <v>23200</v>
      </c>
      <c r="E38" s="5">
        <v>120000</v>
      </c>
      <c r="F38" s="5">
        <f t="shared" si="0"/>
        <v>4.3478260869565215</v>
      </c>
      <c r="G38" s="5">
        <v>54661.625783847063</v>
      </c>
      <c r="H38" t="s">
        <v>145</v>
      </c>
      <c r="I38" t="s">
        <v>146</v>
      </c>
    </row>
    <row r="39" spans="1:9" x14ac:dyDescent="0.25">
      <c r="A39" t="s">
        <v>147</v>
      </c>
      <c r="B39" t="s">
        <v>148</v>
      </c>
      <c r="C39" s="5">
        <v>1900000</v>
      </c>
      <c r="D39" s="5">
        <v>1138000</v>
      </c>
      <c r="E39" s="5">
        <v>1956000</v>
      </c>
      <c r="F39" s="5">
        <f t="shared" si="0"/>
        <v>1.0294736842105263</v>
      </c>
      <c r="G39" s="5">
        <v>456965.35244297609</v>
      </c>
      <c r="H39" t="s">
        <v>149</v>
      </c>
      <c r="I39" t="s">
        <v>150</v>
      </c>
    </row>
    <row r="40" spans="1:9" x14ac:dyDescent="0.25">
      <c r="A40" t="s">
        <v>151</v>
      </c>
      <c r="B40" t="s">
        <v>152</v>
      </c>
      <c r="C40" s="5">
        <v>164000</v>
      </c>
      <c r="D40" s="5">
        <v>162500</v>
      </c>
      <c r="E40" s="5">
        <v>210000</v>
      </c>
      <c r="F40" s="5">
        <f t="shared" si="0"/>
        <v>1.2804878048780488</v>
      </c>
      <c r="G40" s="5">
        <v>27001.543165777271</v>
      </c>
      <c r="H40" t="s">
        <v>153</v>
      </c>
      <c r="I40" t="s">
        <v>154</v>
      </c>
    </row>
    <row r="41" spans="1:9" x14ac:dyDescent="0.25">
      <c r="A41" t="s">
        <v>155</v>
      </c>
      <c r="B41" t="s">
        <v>156</v>
      </c>
      <c r="C41" s="5">
        <v>430000</v>
      </c>
      <c r="D41" s="5">
        <v>245200</v>
      </c>
      <c r="E41" s="5">
        <v>640000</v>
      </c>
      <c r="F41" s="5">
        <f t="shared" si="0"/>
        <v>1.4883720930232558</v>
      </c>
      <c r="G41" s="5">
        <v>177231.65067222051</v>
      </c>
      <c r="H41" t="s">
        <v>157</v>
      </c>
      <c r="I41" t="s">
        <v>158</v>
      </c>
    </row>
    <row r="42" spans="1:9" x14ac:dyDescent="0.25">
      <c r="A42" t="s">
        <v>159</v>
      </c>
      <c r="B42" t="s">
        <v>160</v>
      </c>
      <c r="C42" s="5">
        <v>111600</v>
      </c>
      <c r="D42" s="5">
        <v>111600</v>
      </c>
      <c r="E42" s="5">
        <v>111600</v>
      </c>
      <c r="F42" s="5">
        <f t="shared" si="0"/>
        <v>1</v>
      </c>
      <c r="H42" t="s">
        <v>161</v>
      </c>
      <c r="I42" t="s">
        <v>162</v>
      </c>
    </row>
    <row r="43" spans="1:9" x14ac:dyDescent="0.25">
      <c r="A43" t="s">
        <v>163</v>
      </c>
      <c r="B43" t="s">
        <v>164</v>
      </c>
      <c r="C43" s="5">
        <v>163250</v>
      </c>
      <c r="D43" s="5">
        <v>162500</v>
      </c>
      <c r="E43" s="5">
        <v>164000</v>
      </c>
      <c r="F43" s="5">
        <f t="shared" si="0"/>
        <v>1.004594180704441</v>
      </c>
      <c r="G43" s="5">
        <v>1060.660171779821</v>
      </c>
      <c r="H43" t="s">
        <v>99</v>
      </c>
      <c r="I43" t="s">
        <v>100</v>
      </c>
    </row>
    <row r="44" spans="1:9" x14ac:dyDescent="0.25">
      <c r="A44" t="s">
        <v>165</v>
      </c>
      <c r="B44" t="s">
        <v>166</v>
      </c>
      <c r="C44" s="5">
        <v>247000</v>
      </c>
      <c r="D44" s="5">
        <v>246000</v>
      </c>
      <c r="E44" s="5">
        <v>5926000</v>
      </c>
      <c r="F44" s="5">
        <f t="shared" si="0"/>
        <v>23.991902834008098</v>
      </c>
      <c r="G44" s="5">
        <v>3279060.891983151</v>
      </c>
      <c r="H44" t="s">
        <v>167</v>
      </c>
      <c r="I44" t="s">
        <v>168</v>
      </c>
    </row>
    <row r="45" spans="1:9" x14ac:dyDescent="0.25">
      <c r="A45" t="s">
        <v>169</v>
      </c>
      <c r="B45" t="s">
        <v>170</v>
      </c>
      <c r="C45" s="5">
        <v>560000</v>
      </c>
      <c r="D45" s="5">
        <v>540000</v>
      </c>
      <c r="E45" s="5">
        <v>660000</v>
      </c>
      <c r="F45" s="5">
        <f t="shared" si="0"/>
        <v>1.1785714285714286</v>
      </c>
      <c r="G45" s="5">
        <v>64291.005073286367</v>
      </c>
      <c r="H45" t="s">
        <v>171</v>
      </c>
      <c r="I45" t="s">
        <v>172</v>
      </c>
    </row>
    <row r="46" spans="1:9" x14ac:dyDescent="0.25">
      <c r="A46" t="s">
        <v>173</v>
      </c>
      <c r="B46" t="s">
        <v>174</v>
      </c>
      <c r="C46" s="5">
        <v>125000</v>
      </c>
      <c r="D46" s="5">
        <v>93000</v>
      </c>
      <c r="E46" s="5">
        <v>440000</v>
      </c>
      <c r="F46" s="5">
        <f t="shared" si="0"/>
        <v>3.52</v>
      </c>
      <c r="G46" s="5">
        <v>191771.56549742541</v>
      </c>
      <c r="H46" t="s">
        <v>175</v>
      </c>
      <c r="I46" t="s">
        <v>176</v>
      </c>
    </row>
    <row r="47" spans="1:9" x14ac:dyDescent="0.25">
      <c r="A47" t="s">
        <v>177</v>
      </c>
      <c r="B47" t="s">
        <v>178</v>
      </c>
      <c r="C47" s="5">
        <v>238000</v>
      </c>
      <c r="D47" s="5">
        <v>236000</v>
      </c>
      <c r="E47" s="5">
        <v>240000</v>
      </c>
      <c r="F47" s="5">
        <f t="shared" si="0"/>
        <v>1.0084033613445378</v>
      </c>
      <c r="G47" s="5">
        <v>2828.4271247461902</v>
      </c>
      <c r="H47" t="s">
        <v>93</v>
      </c>
      <c r="I47" t="s">
        <v>94</v>
      </c>
    </row>
    <row r="48" spans="1:9" x14ac:dyDescent="0.25">
      <c r="A48" t="s">
        <v>179</v>
      </c>
      <c r="B48" t="s">
        <v>180</v>
      </c>
      <c r="C48" s="5">
        <v>50000</v>
      </c>
      <c r="D48" s="5">
        <v>26100</v>
      </c>
      <c r="E48" s="5">
        <v>65280</v>
      </c>
      <c r="F48" s="5">
        <f t="shared" si="0"/>
        <v>1.3056000000000001</v>
      </c>
      <c r="G48" s="5">
        <v>10288.49207759666</v>
      </c>
      <c r="H48" t="s">
        <v>181</v>
      </c>
      <c r="I48" t="s">
        <v>182</v>
      </c>
    </row>
    <row r="49" spans="1:9" x14ac:dyDescent="0.25">
      <c r="A49" t="s">
        <v>183</v>
      </c>
      <c r="B49" t="s">
        <v>184</v>
      </c>
      <c r="C49" s="5">
        <v>9100</v>
      </c>
      <c r="D49" s="5">
        <v>9100</v>
      </c>
      <c r="E49" s="5">
        <v>158800</v>
      </c>
      <c r="F49" s="5">
        <f t="shared" si="0"/>
        <v>17.450549450549449</v>
      </c>
      <c r="G49" s="5">
        <v>86429.335297686979</v>
      </c>
      <c r="H49" t="s">
        <v>185</v>
      </c>
      <c r="I49" t="s">
        <v>186</v>
      </c>
    </row>
    <row r="50" spans="1:9" x14ac:dyDescent="0.25">
      <c r="A50" t="s">
        <v>187</v>
      </c>
      <c r="B50" t="s">
        <v>188</v>
      </c>
      <c r="C50" s="5">
        <v>50000</v>
      </c>
      <c r="D50" s="5">
        <v>47500</v>
      </c>
      <c r="E50" s="5">
        <v>65280</v>
      </c>
      <c r="F50" s="5">
        <f t="shared" si="0"/>
        <v>1.3056000000000001</v>
      </c>
      <c r="G50" s="5">
        <v>6925.9456978468879</v>
      </c>
      <c r="H50" t="s">
        <v>189</v>
      </c>
      <c r="I50" t="s">
        <v>190</v>
      </c>
    </row>
    <row r="51" spans="1:9" x14ac:dyDescent="0.25">
      <c r="A51" t="s">
        <v>191</v>
      </c>
      <c r="B51" t="s">
        <v>192</v>
      </c>
      <c r="C51" s="5">
        <v>60000</v>
      </c>
      <c r="D51" s="5">
        <v>52500</v>
      </c>
      <c r="E51" s="5">
        <v>80000</v>
      </c>
      <c r="F51" s="5">
        <f t="shared" si="0"/>
        <v>1.3333333333333333</v>
      </c>
      <c r="G51" s="5">
        <v>13509.256086106299</v>
      </c>
      <c r="H51" t="s">
        <v>193</v>
      </c>
      <c r="I51" t="s">
        <v>194</v>
      </c>
    </row>
    <row r="52" spans="1:9" x14ac:dyDescent="0.25">
      <c r="A52" t="s">
        <v>195</v>
      </c>
      <c r="B52" t="s">
        <v>196</v>
      </c>
      <c r="C52" s="5">
        <v>6480</v>
      </c>
      <c r="D52" s="5">
        <v>3000</v>
      </c>
      <c r="E52" s="5">
        <v>14400</v>
      </c>
      <c r="F52" s="5">
        <f t="shared" si="0"/>
        <v>2.2222222222222223</v>
      </c>
      <c r="G52" s="5">
        <v>4311.049013370065</v>
      </c>
      <c r="H52" t="s">
        <v>197</v>
      </c>
      <c r="I52" t="s">
        <v>198</v>
      </c>
    </row>
    <row r="53" spans="1:9" x14ac:dyDescent="0.25">
      <c r="A53" t="s">
        <v>199</v>
      </c>
      <c r="B53" t="s">
        <v>200</v>
      </c>
      <c r="C53" s="5">
        <v>5000</v>
      </c>
      <c r="D53" s="5">
        <v>3500</v>
      </c>
      <c r="E53" s="5">
        <v>6937.5</v>
      </c>
      <c r="F53" s="5">
        <f t="shared" si="0"/>
        <v>1.3875</v>
      </c>
      <c r="G53" s="5">
        <v>1502.1605273738221</v>
      </c>
      <c r="H53" t="s">
        <v>201</v>
      </c>
      <c r="I53" t="s">
        <v>202</v>
      </c>
    </row>
    <row r="54" spans="1:9" x14ac:dyDescent="0.25">
      <c r="A54" t="s">
        <v>203</v>
      </c>
      <c r="B54" t="s">
        <v>204</v>
      </c>
      <c r="C54" s="5">
        <v>175000</v>
      </c>
      <c r="D54" s="5">
        <v>54000</v>
      </c>
      <c r="E54" s="5">
        <v>230000</v>
      </c>
      <c r="F54" s="5">
        <f t="shared" si="0"/>
        <v>1.3142857142857143</v>
      </c>
      <c r="G54" s="5">
        <v>90038.880490596945</v>
      </c>
      <c r="H54" t="s">
        <v>205</v>
      </c>
      <c r="I54" t="s">
        <v>206</v>
      </c>
    </row>
    <row r="55" spans="1:9" x14ac:dyDescent="0.25">
      <c r="A55" t="s">
        <v>207</v>
      </c>
      <c r="B55" t="s">
        <v>208</v>
      </c>
      <c r="C55" s="5">
        <v>164925</v>
      </c>
      <c r="D55" s="5">
        <v>82280</v>
      </c>
      <c r="E55" s="5">
        <v>231000</v>
      </c>
      <c r="F55" s="5">
        <f t="shared" si="0"/>
        <v>1.4006366530241019</v>
      </c>
      <c r="G55" s="5">
        <v>55089.700332602377</v>
      </c>
      <c r="H55" t="s">
        <v>209</v>
      </c>
      <c r="I55" t="s">
        <v>210</v>
      </c>
    </row>
    <row r="56" spans="1:9" x14ac:dyDescent="0.25">
      <c r="A56" t="s">
        <v>211</v>
      </c>
      <c r="B56" t="s">
        <v>212</v>
      </c>
      <c r="C56" s="5">
        <v>1000000</v>
      </c>
      <c r="D56" s="5">
        <v>970000</v>
      </c>
      <c r="E56" s="5">
        <v>18400000</v>
      </c>
      <c r="F56" s="5">
        <f>E56/C56</f>
        <v>18.399999999999999</v>
      </c>
      <c r="G56" s="5">
        <v>10054566.12688981</v>
      </c>
      <c r="H56" t="s">
        <v>213</v>
      </c>
      <c r="I56" t="s">
        <v>214</v>
      </c>
    </row>
    <row r="57" spans="1:9" x14ac:dyDescent="0.25">
      <c r="A57" t="s">
        <v>215</v>
      </c>
      <c r="B57" t="s">
        <v>216</v>
      </c>
      <c r="C57" s="5">
        <v>439790</v>
      </c>
      <c r="D57" s="5">
        <v>439790</v>
      </c>
      <c r="E57" s="5">
        <v>439790</v>
      </c>
      <c r="F57" s="5">
        <f t="shared" si="0"/>
        <v>1</v>
      </c>
      <c r="H57" t="s">
        <v>217</v>
      </c>
      <c r="I57" t="s">
        <v>218</v>
      </c>
    </row>
    <row r="58" spans="1:9" x14ac:dyDescent="0.25">
      <c r="A58" t="s">
        <v>219</v>
      </c>
      <c r="B58" t="s">
        <v>220</v>
      </c>
      <c r="C58" s="5">
        <v>38000</v>
      </c>
      <c r="D58" s="5">
        <v>38000</v>
      </c>
      <c r="E58" s="5">
        <v>38000</v>
      </c>
      <c r="F58" s="5">
        <f t="shared" si="0"/>
        <v>1</v>
      </c>
      <c r="H58" t="s">
        <v>221</v>
      </c>
      <c r="I58" t="s">
        <v>222</v>
      </c>
    </row>
    <row r="59" spans="1:9" x14ac:dyDescent="0.25">
      <c r="A59" t="s">
        <v>223</v>
      </c>
      <c r="B59" t="s">
        <v>224</v>
      </c>
      <c r="C59" s="5">
        <v>950000</v>
      </c>
      <c r="D59" s="5">
        <v>850000</v>
      </c>
      <c r="E59" s="5">
        <v>1595000</v>
      </c>
      <c r="F59" s="5">
        <f t="shared" si="0"/>
        <v>1.6789473684210525</v>
      </c>
      <c r="G59" s="5">
        <v>310155.92852628179</v>
      </c>
      <c r="H59" t="s">
        <v>225</v>
      </c>
      <c r="I59" t="s">
        <v>226</v>
      </c>
    </row>
    <row r="60" spans="1:9" x14ac:dyDescent="0.25">
      <c r="A60" t="s">
        <v>227</v>
      </c>
      <c r="B60" t="s">
        <v>228</v>
      </c>
      <c r="C60" s="5">
        <v>196586</v>
      </c>
      <c r="D60" s="5">
        <v>182500</v>
      </c>
      <c r="E60" s="5">
        <v>210672</v>
      </c>
      <c r="F60" s="5">
        <f t="shared" si="0"/>
        <v>1.0716531187368379</v>
      </c>
      <c r="G60" s="5">
        <v>19920.612239587419</v>
      </c>
      <c r="H60" t="s">
        <v>229</v>
      </c>
      <c r="I60" t="s">
        <v>230</v>
      </c>
    </row>
    <row r="61" spans="1:9" x14ac:dyDescent="0.25">
      <c r="A61" t="s">
        <v>231</v>
      </c>
      <c r="B61" t="s">
        <v>232</v>
      </c>
      <c r="C61" s="5">
        <v>691250</v>
      </c>
      <c r="D61" s="5">
        <v>182500</v>
      </c>
      <c r="E61" s="5">
        <v>1200000</v>
      </c>
      <c r="F61" s="5">
        <f t="shared" si="0"/>
        <v>1.7359855334538878</v>
      </c>
      <c r="G61" s="5">
        <v>719481.14985731209</v>
      </c>
      <c r="H61" t="s">
        <v>233</v>
      </c>
      <c r="I61" t="s">
        <v>234</v>
      </c>
    </row>
  </sheetData>
  <hyperlinks>
    <hyperlink ref="J13" r:id="rId1" xr:uid="{63B903B5-7935-44A9-B7F6-5BF8BC1B770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2025-08-12T10:12:40Z</dcterms:created>
  <dcterms:modified xsi:type="dcterms:W3CDTF">2025-08-12T12:29:53Z</dcterms:modified>
</cp:coreProperties>
</file>