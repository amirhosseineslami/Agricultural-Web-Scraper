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ebscraping\source\"/>
    </mc:Choice>
  </mc:AlternateContent>
  <xr:revisionPtr revIDLastSave="0" documentId="13_ncr:1_{E576E413-DD8E-4E0A-9134-CC3D0CEFE4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6" i="1" l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<sst xmlns="http://schemas.openxmlformats.org/spreadsheetml/2006/main" count="1114" uniqueCount="364">
  <si>
    <t>sub_input_code</t>
  </si>
  <si>
    <t>input_code</t>
  </si>
  <si>
    <t>Name_of_fertilizer</t>
  </si>
  <si>
    <t>Group_of_fertilizer</t>
  </si>
  <si>
    <t>Real_Name_of_fertilizer</t>
  </si>
  <si>
    <t>کود نیتروژن (ازته)</t>
  </si>
  <si>
    <t>اوره</t>
  </si>
  <si>
    <t>آمونیاک</t>
  </si>
  <si>
    <t>نیترات آمونیوم</t>
  </si>
  <si>
    <t>اسید نیتریک</t>
  </si>
  <si>
    <t>سولفات آمونیوم</t>
  </si>
  <si>
    <t>اوره با پوشش گوگردی</t>
  </si>
  <si>
    <t>اوره سولفاتی</t>
  </si>
  <si>
    <t>اوره نیترات آمونیوم</t>
  </si>
  <si>
    <t xml:space="preserve"> فسفات آمونیوم</t>
  </si>
  <si>
    <t>نیترات کلسیم</t>
  </si>
  <si>
    <t>نیترات پتاسیم</t>
  </si>
  <si>
    <t>کود فسفاته</t>
  </si>
  <si>
    <t>اوره فسفات</t>
  </si>
  <si>
    <t>مونو فسفات پتاسیم</t>
  </si>
  <si>
    <t>فسفات آمونیم</t>
  </si>
  <si>
    <t>فسفیت پتاسیم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</si>
  <si>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</si>
  <si>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</si>
  <si>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</si>
  <si>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</si>
  <si>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</si>
  <si>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</si>
  <si>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</si>
  <si>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</si>
  <si>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</si>
  <si>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فسفات گوگردی</t>
  </si>
  <si>
    <t>آمینو فسفات</t>
  </si>
  <si>
    <t>فسفات کلسیم</t>
  </si>
  <si>
    <t>کلات فسفر</t>
  </si>
  <si>
    <t>کود پتاسه</t>
  </si>
  <si>
    <t>سولفات پتاسیم</t>
  </si>
  <si>
    <t>کلرور پتاسیم</t>
  </si>
  <si>
    <t>مونو پتاسیم فسفات</t>
  </si>
  <si>
    <t>پتاسیم نیترات</t>
  </si>
  <si>
    <t>پتاسیم منیزیم</t>
  </si>
  <si>
    <t>آمینو پتاس</t>
  </si>
  <si>
    <t>پتاسه گرانوله</t>
  </si>
  <si>
    <t>کلات پتاسیم</t>
  </si>
  <si>
    <t xml:space="preserve"> پتاسیم سیلیکات</t>
  </si>
  <si>
    <t>کود کلسیم</t>
  </si>
  <si>
    <t>کلسیم نیترات</t>
  </si>
  <si>
    <t>کلات کلسیم</t>
  </si>
  <si>
    <t>کلسیم بورات</t>
  </si>
  <si>
    <t>آمینو کلسیم</t>
  </si>
  <si>
    <t>کلسیم فسفات</t>
  </si>
  <si>
    <t>کلسیم آمونیوم نیترات</t>
  </si>
  <si>
    <t>کلسیم منیزیم</t>
  </si>
  <si>
    <t>سولفات کلسیم</t>
  </si>
  <si>
    <t>کلرو کلسیم</t>
  </si>
  <si>
    <t>کود منیزیم</t>
  </si>
  <si>
    <t>سولفات منیزیم</t>
  </si>
  <si>
    <t>نیترات منیزیم</t>
  </si>
  <si>
    <t>کلات منیزیم</t>
  </si>
  <si>
    <t>منیزیم فسفیت</t>
  </si>
  <si>
    <t xml:space="preserve"> پتاس منیزیم</t>
  </si>
  <si>
    <t>منیزیم روی</t>
  </si>
  <si>
    <t>امینو منیزیم</t>
  </si>
  <si>
    <t>کود گوگردی</t>
  </si>
  <si>
    <t>گوگرد پودری</t>
  </si>
  <si>
    <t>گوگرد گرانوله</t>
  </si>
  <si>
    <t>اسید سولفوریک</t>
  </si>
  <si>
    <t>گوگرد مایع</t>
  </si>
  <si>
    <t>گوگرد بنتونیت دار</t>
  </si>
  <si>
    <t>کود های کامل (N-P-K)</t>
  </si>
  <si>
    <t>20-20-20</t>
  </si>
  <si>
    <t>12-12-36</t>
  </si>
  <si>
    <t>10-52-10</t>
  </si>
  <si>
    <t>15-5-40</t>
  </si>
  <si>
    <t>5-5-15</t>
  </si>
  <si>
    <t>15-5-30</t>
  </si>
  <si>
    <t>14-8-30</t>
  </si>
  <si>
    <t>18-8-30</t>
  </si>
  <si>
    <t>15-8-15</t>
  </si>
  <si>
    <t>10-4-44</t>
  </si>
  <si>
    <t>13-40-13</t>
  </si>
  <si>
    <t>12-8-40</t>
  </si>
  <si>
    <t>15-10-30</t>
  </si>
  <si>
    <t>12-3-43</t>
  </si>
  <si>
    <t>30-10-10</t>
  </si>
  <si>
    <t>12-12-17</t>
  </si>
  <si>
    <t>10-10-43</t>
  </si>
  <si>
    <t>15-5-15</t>
  </si>
  <si>
    <t>18-18-18</t>
  </si>
  <si>
    <t>3-11-38</t>
  </si>
  <si>
    <t>20-5-10</t>
  </si>
  <si>
    <t>30-6-6</t>
  </si>
  <si>
    <t>40-5-5</t>
  </si>
  <si>
    <t>10-45-10</t>
  </si>
  <si>
    <t>10-5-40</t>
  </si>
  <si>
    <t>18-10-18</t>
  </si>
  <si>
    <t>10-30-10</t>
  </si>
  <si>
    <t>5-5-45</t>
  </si>
  <si>
    <t>19-6-20</t>
  </si>
  <si>
    <t>4-5-40</t>
  </si>
  <si>
    <t>15-50-5</t>
  </si>
  <si>
    <t>10-40-10</t>
  </si>
  <si>
    <t>5-10-40</t>
  </si>
  <si>
    <t>19-19-19</t>
  </si>
  <si>
    <t>15-5-26</t>
  </si>
  <si>
    <t>17-4-30</t>
  </si>
  <si>
    <t>40-10-10</t>
  </si>
  <si>
    <t>16-7-28</t>
  </si>
  <si>
    <t>15-30-15</t>
  </si>
  <si>
    <t>18-16-24</t>
  </si>
  <si>
    <t>کودهای ترکیبی</t>
  </si>
  <si>
    <t>فروت ست (ازت+بر+روی)</t>
  </si>
  <si>
    <t>دلفارد</t>
  </si>
  <si>
    <t>چالکود</t>
  </si>
  <si>
    <t xml:space="preserve"> اهن -روی- منگنز</t>
  </si>
  <si>
    <t>روی-بر-پتاسیم</t>
  </si>
  <si>
    <t>پتاسیم کلسیم نیترات</t>
  </si>
  <si>
    <t>12-12-36+TE</t>
  </si>
  <si>
    <t>15-5-30+TE</t>
  </si>
  <si>
    <t>10-52-10+TE</t>
  </si>
  <si>
    <t>20-20-20+TE</t>
  </si>
  <si>
    <t>9-7-7+TE</t>
  </si>
  <si>
    <t>17-0-6+Ca</t>
  </si>
  <si>
    <t>ریزمغذی</t>
  </si>
  <si>
    <t>کلات منگز</t>
  </si>
  <si>
    <t>سولفات منگنز</t>
  </si>
  <si>
    <t>امینو منگنز</t>
  </si>
  <si>
    <t>آهن منگنز روی</t>
  </si>
  <si>
    <t>آهن سکوسترین</t>
  </si>
  <si>
    <t>سولفات آهن</t>
  </si>
  <si>
    <t>کلات آهن</t>
  </si>
  <si>
    <t>آمینو اهن</t>
  </si>
  <si>
    <t>نیترات آهن</t>
  </si>
  <si>
    <t xml:space="preserve"> کلات روی</t>
  </si>
  <si>
    <t>سولفات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</si>
  <si>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</si>
  <si>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</si>
  <si>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</si>
  <si>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</si>
  <si>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</si>
  <si>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</si>
  <si>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</si>
  <si>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کلات بور</t>
  </si>
  <si>
    <t>سولفات بور</t>
  </si>
  <si>
    <t xml:space="preserve"> کلات مس</t>
  </si>
  <si>
    <t>سولفات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</si>
  <si>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</si>
  <si>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</si>
  <si>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</si>
  <si>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</si>
  <si>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</si>
  <si>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</si>
  <si>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</si>
  <si>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نیکل</t>
  </si>
  <si>
    <t>کلر</t>
  </si>
  <si>
    <t>میکروکامل</t>
  </si>
  <si>
    <t>میکرومیکس</t>
  </si>
  <si>
    <t>سیلیکون</t>
  </si>
  <si>
    <t>سیلیکات پتاسیم</t>
  </si>
  <si>
    <t>مگنز نیتروژن</t>
  </si>
  <si>
    <t>روی نیتروژن</t>
  </si>
  <si>
    <t>مس نیتروژن</t>
  </si>
  <si>
    <t>میکرو سولفاته</t>
  </si>
  <si>
    <t>مخلوط میکرو</t>
  </si>
  <si>
    <t>151</t>
  </si>
  <si>
    <t>میکرو کلاته</t>
  </si>
  <si>
    <t>کود های دامی</t>
  </si>
  <si>
    <t>گاوی</t>
  </si>
  <si>
    <t>مرغی</t>
  </si>
  <si>
    <t>گوسفندی</t>
  </si>
  <si>
    <t>اسبی</t>
  </si>
  <si>
    <t>کفتری</t>
  </si>
  <si>
    <t>کود های آلی</t>
  </si>
  <si>
    <t>پلیت مرغی</t>
  </si>
  <si>
    <t>مرغی مایع</t>
  </si>
  <si>
    <t>ماهی</t>
  </si>
  <si>
    <t>مرغی گرانوله</t>
  </si>
  <si>
    <t>کمپوست</t>
  </si>
  <si>
    <t>ورمی کمپوست</t>
  </si>
  <si>
    <t>کود سبز</t>
  </si>
  <si>
    <t>اسید هیومیک</t>
  </si>
  <si>
    <t>اسید آمینه</t>
  </si>
  <si>
    <t>فولیک اسید</t>
  </si>
  <si>
    <t>گوگرد آلی</t>
  </si>
  <si>
    <t>هیومات پتاسیم</t>
  </si>
  <si>
    <t>اسیدهیومیک + ریزمغزی</t>
  </si>
  <si>
    <t>اسید آمینه + ریز مغذی</t>
  </si>
  <si>
    <t>کود های زیستی</t>
  </si>
  <si>
    <t>جلبک دریایی</t>
  </si>
  <si>
    <t>بایوچار</t>
  </si>
  <si>
    <t>نیتروزیست</t>
  </si>
  <si>
    <t>فسفوزیست</t>
  </si>
  <si>
    <t>ازتو باکتر</t>
  </si>
  <si>
    <t>باکتری تیوباسیلوس</t>
  </si>
  <si>
    <t>باکتری ریزوبیوم</t>
  </si>
  <si>
    <t xml:space="preserve"> باکتری آزوسپریلیوم</t>
  </si>
  <si>
    <t>قارچ میکوریزا</t>
  </si>
  <si>
    <t>باکتریهای ریزوسفر محرک رشد</t>
  </si>
  <si>
    <t>تثبیت کننده های نیتروژن</t>
  </si>
  <si>
    <t xml:space="preserve"> حل کننده های فسفات</t>
  </si>
  <si>
    <t>فسفر + 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</si>
  <si>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</si>
  <si>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</si>
  <si>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</si>
  <si>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</si>
  <si>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سایر کود ها</t>
  </si>
  <si>
    <t>کود بذر مال</t>
  </si>
  <si>
    <t>فرتی فراست (ضد سرما)</t>
  </si>
  <si>
    <t>ضد شوری</t>
  </si>
  <si>
    <t>ضد تنش</t>
  </si>
  <si>
    <t>اصلاح کننده خاک</t>
  </si>
  <si>
    <t>اصلاح کننده  ph</t>
  </si>
  <si>
    <t>117</t>
  </si>
  <si>
    <t>Minimum_Price(Kg)</t>
  </si>
  <si>
    <t>Maximum_Price(Kg)</t>
  </si>
  <si>
    <t>Exact_Price(Kg)</t>
  </si>
  <si>
    <t>https://www.bbk-iran.com/</t>
  </si>
  <si>
    <t>https://shimistore.com/product/ammonia/</t>
  </si>
  <si>
    <t>torob.com</t>
  </si>
  <si>
    <t>https://www.bbk-iran.com</t>
  </si>
  <si>
    <t>https://digikoud.com/</t>
  </si>
  <si>
    <t>https://digikoud.com</t>
  </si>
  <si>
    <t>https://basalam.com/search/list</t>
  </si>
  <si>
    <t>https://sepahankesht.com</t>
  </si>
  <si>
    <t>https://agriplus.ir/Product/BKP</t>
  </si>
  <si>
    <t>https://keshavarzankala.com/</t>
  </si>
  <si>
    <t>https://agriplus.ir/Product</t>
  </si>
  <si>
    <t>https://torob.com/</t>
  </si>
  <si>
    <t>https://agriplus.ir/</t>
  </si>
  <si>
    <t>https://shimistore.com/</t>
  </si>
  <si>
    <t>https://royeshkala.com/</t>
  </si>
  <si>
    <t>https://www.digikala.com/</t>
  </si>
  <si>
    <t>https://sanapaliz.com/</t>
  </si>
  <si>
    <t>https://sepahankesht.com/</t>
  </si>
  <si>
    <t>Sources</t>
  </si>
  <si>
    <t>600000</t>
  </si>
  <si>
    <t>440000</t>
  </si>
  <si>
    <t>640000</t>
  </si>
  <si>
    <t/>
  </si>
  <si>
    <t>210000</t>
  </si>
  <si>
    <t>100000</t>
  </si>
  <si>
    <t>155000</t>
  </si>
  <si>
    <t>144000</t>
  </si>
  <si>
    <t>355000</t>
  </si>
  <si>
    <t>53000</t>
  </si>
  <si>
    <t>5000000</t>
  </si>
  <si>
    <t>170000</t>
  </si>
  <si>
    <t>1680000</t>
  </si>
  <si>
    <t>750000</t>
  </si>
  <si>
    <t>2420000</t>
  </si>
  <si>
    <t>850000</t>
  </si>
  <si>
    <t>3360000</t>
  </si>
  <si>
    <t>110000</t>
  </si>
  <si>
    <t>2650000</t>
  </si>
  <si>
    <t>2900000</t>
  </si>
  <si>
    <t>716000</t>
  </si>
  <si>
    <t>530000</t>
  </si>
  <si>
    <t>4350000</t>
  </si>
  <si>
    <t>400000</t>
  </si>
  <si>
    <t>176000</t>
  </si>
  <si>
    <t>500000</t>
  </si>
  <si>
    <t>860000</t>
  </si>
  <si>
    <t>1650000</t>
  </si>
  <si>
    <t>4450000</t>
  </si>
  <si>
    <t>550000</t>
  </si>
  <si>
    <t>1320000</t>
  </si>
  <si>
    <t>115000</t>
  </si>
  <si>
    <t>2456000</t>
  </si>
  <si>
    <t>3980000</t>
  </si>
  <si>
    <t>2200000</t>
  </si>
  <si>
    <t>1020000</t>
  </si>
  <si>
    <t>2890000</t>
  </si>
  <si>
    <t>6490000</t>
  </si>
  <si>
    <t>900000</t>
  </si>
  <si>
    <t>3700000</t>
  </si>
  <si>
    <t>760000</t>
  </si>
  <si>
    <t>1700000</t>
  </si>
  <si>
    <t>700000</t>
  </si>
  <si>
    <t>4440000</t>
  </si>
  <si>
    <t>150000</t>
  </si>
  <si>
    <t>4800000</t>
  </si>
  <si>
    <t>1750000</t>
  </si>
  <si>
    <t>9740000</t>
  </si>
  <si>
    <t>5300000</t>
  </si>
  <si>
    <t>825000</t>
  </si>
  <si>
    <t>1920000</t>
  </si>
  <si>
    <t>52000</t>
  </si>
  <si>
    <t>120000</t>
  </si>
  <si>
    <t>2300000</t>
  </si>
  <si>
    <t>1690000</t>
  </si>
  <si>
    <t>2480000</t>
  </si>
  <si>
    <t>2956000</t>
  </si>
  <si>
    <t>1090000</t>
  </si>
  <si>
    <t>3120000</t>
  </si>
  <si>
    <t>970000</t>
  </si>
  <si>
    <t>4200000</t>
  </si>
  <si>
    <t>3200000</t>
  </si>
  <si>
    <t>1440000</t>
  </si>
  <si>
    <t>4500000</t>
  </si>
  <si>
    <t>1800000</t>
  </si>
  <si>
    <t>165000</t>
  </si>
  <si>
    <t>320000</t>
  </si>
  <si>
    <t>2540000</t>
  </si>
  <si>
    <t>4150000</t>
  </si>
  <si>
    <t>2950000</t>
  </si>
  <si>
    <t>4990000</t>
  </si>
  <si>
    <t>7990000</t>
  </si>
  <si>
    <t>1300000</t>
  </si>
  <si>
    <t>3900000</t>
  </si>
  <si>
    <t>3830000</t>
  </si>
  <si>
    <t>4650000</t>
  </si>
  <si>
    <t>340000</t>
  </si>
  <si>
    <t>4750000</t>
  </si>
  <si>
    <t>3350000</t>
  </si>
  <si>
    <t>2920000</t>
  </si>
  <si>
    <t>5450000</t>
  </si>
  <si>
    <t>6350000</t>
  </si>
  <si>
    <t>8800000</t>
  </si>
  <si>
    <t>4700000</t>
  </si>
  <si>
    <t>2800000</t>
  </si>
  <si>
    <t>8560000</t>
  </si>
  <si>
    <t>5800000</t>
  </si>
  <si>
    <t>1600000</t>
  </si>
  <si>
    <t>1170000</t>
  </si>
  <si>
    <t>4110000</t>
  </si>
  <si>
    <t>6900000</t>
  </si>
  <si>
    <t>1500000</t>
  </si>
  <si>
    <t>2000000</t>
  </si>
  <si>
    <t>3385000</t>
  </si>
  <si>
    <t>7170000</t>
  </si>
  <si>
    <t>460000</t>
  </si>
  <si>
    <t>4000000</t>
  </si>
  <si>
    <t>1220000</t>
  </si>
  <si>
    <t>6300000</t>
  </si>
  <si>
    <t>4300000</t>
  </si>
  <si>
    <t>30000000</t>
  </si>
  <si>
    <t>3890000</t>
  </si>
  <si>
    <t>10078000</t>
  </si>
  <si>
    <t>1000000</t>
  </si>
  <si>
    <t>780000</t>
  </si>
  <si>
    <t>1540000</t>
  </si>
  <si>
    <t>1760000</t>
  </si>
  <si>
    <t>8950000</t>
  </si>
  <si>
    <t>3250000</t>
  </si>
  <si>
    <t>680000</t>
  </si>
  <si>
    <t>1900000</t>
  </si>
  <si>
    <t>2880000</t>
  </si>
  <si>
    <t>8160000</t>
  </si>
  <si>
    <t>4100000</t>
  </si>
  <si>
    <t>3990000</t>
  </si>
  <si>
    <t>6890000</t>
  </si>
  <si>
    <t>8450000</t>
  </si>
  <si>
    <t>https://avanmz.ir</t>
  </si>
  <si>
    <t>https://sangak.shop</t>
  </si>
  <si>
    <t>https://www.shavarz.com</t>
  </si>
  <si>
    <t>https://bksabz.ir</t>
  </si>
  <si>
    <t>https://agriplus.ir</t>
  </si>
  <si>
    <t>https://royalkesht.com/</t>
  </si>
  <si>
    <t>https://sanapaliz.com</t>
  </si>
  <si>
    <t>https://allk1.com</t>
  </si>
  <si>
    <t>https://koodforosh.com</t>
  </si>
  <si>
    <t xml:space="preserve"> ریشه زا ( تریکوران، پارس باسیل و ...)</t>
  </si>
  <si>
    <t>sources_unique</t>
  </si>
  <si>
    <t>Group_of_fertilizer_unique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</si>
</sst>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49" fontId="0" fillId="8" borderId="1" xfId="0" quotePrefix="1" applyNumberFormat="1" applyFill="1" applyBorder="1" applyAlignment="1">
      <alignment horizontal="center" vertical="center"/>
    </xf>
    <xf numFmtId="49" fontId="0" fillId="9" borderId="1" xfId="0" quotePrefix="1" applyNumberFormat="1" applyFill="1" applyBorder="1" applyAlignment="1">
      <alignment horizontal="center" vertical="center"/>
    </xf>
    <xf numFmtId="49" fontId="2" fillId="10" borderId="2" xfId="0" quotePrefix="1" applyNumberFormat="1" applyFont="1" applyFill="1" applyBorder="1" applyAlignment="1">
      <alignment horizontal="center" vertical="center"/>
    </xf>
    <xf numFmtId="49" fontId="2" fillId="10" borderId="1" xfId="0" quotePrefix="1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2" fillId="10" borderId="1" xfId="0" applyNumberFormat="1" applyFont="1" applyFill="1" applyBorder="1"/>
    <xf numFmtId="49" fontId="0" fillId="12" borderId="2" xfId="0" quotePrefix="1" applyNumberFormat="1" applyFill="1" applyBorder="1" applyAlignment="1">
      <alignment horizontal="center" vertical="center"/>
    </xf>
    <xf numFmtId="49" fontId="0" fillId="12" borderId="1" xfId="0" quotePrefix="1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/>
    </xf>
    <xf numFmtId="49" fontId="0" fillId="12" borderId="1" xfId="0" applyNumberFormat="1" applyFill="1" applyBorder="1"/>
    <xf numFmtId="49" fontId="0" fillId="8" borderId="2" xfId="0" quotePrefix="1" applyNumberFormat="1" applyFill="1" applyBorder="1" applyAlignment="1">
      <alignment horizontal="center" vertical="center"/>
    </xf>
    <xf numFmtId="49" fontId="0" fillId="9" borderId="2" xfId="0" quotePrefix="1" applyNumberFormat="1" applyFill="1" applyBorder="1" applyAlignment="1">
      <alignment horizontal="center" vertical="center"/>
    </xf>
    <xf numFmtId="49" fontId="1" fillId="13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0" fillId="14" borderId="1" xfId="0" quotePrefix="1" applyNumberForma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2" fillId="11" borderId="5" xfId="0" quotePrefix="1" applyNumberFormat="1" applyFont="1" applyFill="1" applyBorder="1" applyAlignment="1">
      <alignment horizontal="center" vertical="center"/>
    </xf>
    <xf numFmtId="49" fontId="2" fillId="11" borderId="6" xfId="0" quotePrefix="1" applyNumberFormat="1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center" vertical="center"/>
    </xf>
    <xf numFmtId="49" fontId="2" fillId="11" borderId="6" xfId="0" applyNumberFormat="1" applyFont="1" applyFill="1" applyBorder="1"/>
    <xf numFmtId="2" fontId="0" fillId="7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3" fillId="8" borderId="1" xfId="1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bk-iran.com/" TargetMode="External"/><Relationship Id="rId3" Type="http://schemas.openxmlformats.org/officeDocument/2006/relationships/hyperlink" Target="https://digikoud.com/" TargetMode="External"/><Relationship Id="rId7" Type="http://schemas.openxmlformats.org/officeDocument/2006/relationships/hyperlink" Target="https://royalkesht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igikoud.com/" TargetMode="External"/><Relationship Id="rId1" Type="http://schemas.openxmlformats.org/officeDocument/2006/relationships/hyperlink" Target="https://www.bbk-iran.com/" TargetMode="External"/><Relationship Id="rId6" Type="http://schemas.openxmlformats.org/officeDocument/2006/relationships/hyperlink" Target="https://royalkesht.com/" TargetMode="External"/><Relationship Id="rId11" Type="http://schemas.openxmlformats.org/officeDocument/2006/relationships/hyperlink" Target="https://basalam.com/search/list" TargetMode="External"/><Relationship Id="rId5" Type="http://schemas.openxmlformats.org/officeDocument/2006/relationships/hyperlink" Target="https://royalkesht.com/" TargetMode="External"/><Relationship Id="rId10" Type="http://schemas.openxmlformats.org/officeDocument/2006/relationships/hyperlink" Target="https://royalkesht.com/" TargetMode="External"/><Relationship Id="rId4" Type="http://schemas.openxmlformats.org/officeDocument/2006/relationships/hyperlink" Target="https://royeshkala.com/" TargetMode="External"/><Relationship Id="rId9" Type="http://schemas.openxmlformats.org/officeDocument/2006/relationships/hyperlink" Target="https://royeshkal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topLeftCell="D1" workbookViewId="0">
      <pane ySplit="1" topLeftCell="A2" activePane="bottomLeft" state="frozen"/>
      <selection activeCell="E1" sqref="E1"/>
      <selection pane="bottomLeft" activeCell="K7" sqref="K7"/>
    </sheetView>
  </sheetViews>
  <sheetFormatPr defaultRowHeight="18" x14ac:dyDescent="0.45"/>
  <cols>
    <col min="1" max="1" width="15.28515625" style="14" bestFit="1" customWidth="1"/>
    <col min="2" max="2" width="11" style="7" bestFit="1" customWidth="1"/>
    <col min="3" max="3" width="18.140625" style="8" bestFit="1" customWidth="1"/>
    <col min="4" max="4" width="18.7109375" style="9" bestFit="1" customWidth="1"/>
    <col min="5" max="5" width="29.42578125" style="26" customWidth="1"/>
    <col min="6" max="6" width="19" style="27" bestFit="1" customWidth="1"/>
    <col min="7" max="7" width="19.28515625" style="27" bestFit="1" customWidth="1"/>
    <col min="8" max="8" width="14.7109375" style="27" bestFit="1" customWidth="1"/>
    <col min="9" max="10" width="62.42578125" style="28" customWidth="1"/>
    <col min="11" max="11" width="24.7109375" style="9" customWidth="1"/>
  </cols>
  <sheetData>
    <row r="1" spans="1:11" ht="24.75" customHeight="1" thickBot="1" x14ac:dyDescent="0.3">
      <c r="A1" s="17" t="s">
        <v>0</v>
      </c>
      <c r="B1" s="18" t="s">
        <v>1</v>
      </c>
      <c r="C1" s="19" t="s">
        <v>2</v>
      </c>
      <c r="D1" s="20" t="s">
        <v>3</v>
      </c>
      <c r="E1" s="22" t="s">
        <v>4</v>
      </c>
      <c r="F1" s="31" t="s">
        <v>213</v>
      </c>
      <c r="G1" s="31" t="s">
        <v>214</v>
      </c>
      <c r="H1" s="31" t="s">
        <v>215</v>
      </c>
      <c r="I1" s="32" t="s">
        <v>234</v>
      </c>
      <c r="J1" s="32" t="s">
        <v>362</v>
      </c>
      <c r="K1" s="20" t="s">
        <v>363</v>
      </c>
    </row>
    <row r="2" spans="1:11" x14ac:dyDescent="0.25">
      <c r="A2" s="10">
        <v>111</v>
      </c>
      <c r="B2" s="15">
        <v>11</v>
      </c>
      <c r="C2" s="16" t="str">
        <f t="shared" ref="C2:C65" si="0">CONCATENATE(B2, "-", A2)</f>
        <v>11-111</v>
      </c>
      <c r="D2" s="3" t="s">
        <v>5</v>
      </c>
      <c r="E2" s="23" t="s">
        <v>6</v>
      </c>
      <c r="F2" s="29">
        <v>25000</v>
      </c>
      <c r="G2" s="29" t="s">
        <v>235</v>
      </c>
      <c r="H2" s="36">
        <v>42500</v>
      </c>
      <c r="I2" s="30" t="s">
        <v>216</v>
      </c>
      <c r="J2" s="30" t="s">
        <v>216</v>
      </c>
      <c r="K2" s="3" t="s">
        <v>5</v>
      </c>
    </row>
    <row r="3" spans="1:11" x14ac:dyDescent="0.25">
      <c r="A3" s="11">
        <v>112</v>
      </c>
      <c r="B3" s="1">
        <v>11</v>
      </c>
      <c r="C3" s="2" t="str">
        <f t="shared" si="0"/>
        <v>11-112</v>
      </c>
      <c r="D3" s="4" t="s">
        <v>5</v>
      </c>
      <c r="E3" s="24" t="s">
        <v>7</v>
      </c>
      <c r="F3" s="27" t="s">
        <v>236</v>
      </c>
      <c r="G3" s="27" t="s">
        <v>236</v>
      </c>
      <c r="H3" s="27" t="s">
        <v>236</v>
      </c>
      <c r="I3" s="28" t="s">
        <v>217</v>
      </c>
      <c r="J3" s="28" t="s">
        <v>217</v>
      </c>
      <c r="K3" s="4" t="s">
        <v>17</v>
      </c>
    </row>
    <row r="4" spans="1:11" x14ac:dyDescent="0.25">
      <c r="A4" s="11">
        <v>113</v>
      </c>
      <c r="B4" s="1">
        <v>11</v>
      </c>
      <c r="C4" s="2" t="str">
        <f t="shared" si="0"/>
        <v>11-113</v>
      </c>
      <c r="D4" s="4" t="s">
        <v>5</v>
      </c>
      <c r="E4" s="24" t="s">
        <v>8</v>
      </c>
      <c r="F4" s="27" t="s">
        <v>237</v>
      </c>
      <c r="G4" s="27" t="s">
        <v>237</v>
      </c>
      <c r="H4" s="27" t="s">
        <v>237</v>
      </c>
      <c r="I4" s="28" t="s">
        <v>218</v>
      </c>
      <c r="J4" s="28" t="s">
        <v>218</v>
      </c>
      <c r="K4" s="6" t="s">
        <v>35</v>
      </c>
    </row>
    <row r="5" spans="1:11" x14ac:dyDescent="0.25">
      <c r="A5" s="11">
        <v>114</v>
      </c>
      <c r="B5" s="1">
        <v>11</v>
      </c>
      <c r="C5" s="2" t="str">
        <f t="shared" si="0"/>
        <v>11-114</v>
      </c>
      <c r="D5" s="4" t="s">
        <v>5</v>
      </c>
      <c r="E5" s="24" t="s">
        <v>9</v>
      </c>
      <c r="F5" s="27" t="s">
        <v>237</v>
      </c>
      <c r="G5" s="27" t="s">
        <v>237</v>
      </c>
      <c r="H5" s="27" t="s">
        <v>237</v>
      </c>
      <c r="I5" s="28" t="s">
        <v>218</v>
      </c>
      <c r="J5" s="33" t="s">
        <v>219</v>
      </c>
      <c r="K5" s="6" t="s">
        <v>45</v>
      </c>
    </row>
    <row r="6" spans="1:11" x14ac:dyDescent="0.25">
      <c r="A6" s="11">
        <v>115</v>
      </c>
      <c r="B6" s="1">
        <v>11</v>
      </c>
      <c r="C6" s="2" t="str">
        <f t="shared" si="0"/>
        <v>11-115</v>
      </c>
      <c r="D6" s="4" t="s">
        <v>5</v>
      </c>
      <c r="E6" s="24" t="s">
        <v>10</v>
      </c>
      <c r="F6" s="27" t="s">
        <v>239</v>
      </c>
      <c r="G6" s="27" t="s">
        <v>240</v>
      </c>
      <c r="H6" s="27" t="s">
        <v>241</v>
      </c>
      <c r="I6" s="33" t="s">
        <v>219</v>
      </c>
      <c r="J6" s="28" t="s">
        <v>220</v>
      </c>
      <c r="K6" s="6" t="s">
        <v>55</v>
      </c>
    </row>
    <row r="7" spans="1:11" x14ac:dyDescent="0.25">
      <c r="A7" s="11">
        <v>116</v>
      </c>
      <c r="B7" s="1">
        <v>11</v>
      </c>
      <c r="C7" s="2" t="str">
        <f t="shared" si="0"/>
        <v>11-116</v>
      </c>
      <c r="D7" s="4" t="s">
        <v>5</v>
      </c>
      <c r="E7" s="24" t="s">
        <v>11</v>
      </c>
      <c r="F7" s="27" t="s">
        <v>242</v>
      </c>
      <c r="G7" s="27" t="s">
        <v>242</v>
      </c>
      <c r="H7" s="27" t="s">
        <v>242</v>
      </c>
      <c r="I7" s="28" t="s">
        <v>220</v>
      </c>
      <c r="J7" s="28" t="s">
        <v>221</v>
      </c>
      <c r="K7" s="6" t="s">
        <v>63</v>
      </c>
    </row>
    <row r="8" spans="1:11" x14ac:dyDescent="0.25">
      <c r="A8" s="11">
        <v>117</v>
      </c>
      <c r="B8" s="1">
        <v>11</v>
      </c>
      <c r="C8" s="2" t="str">
        <f t="shared" si="0"/>
        <v>11-117</v>
      </c>
      <c r="D8" s="4" t="s">
        <v>5</v>
      </c>
      <c r="E8" s="24" t="s">
        <v>12</v>
      </c>
      <c r="F8" s="27" t="s">
        <v>243</v>
      </c>
      <c r="G8" s="27" t="s">
        <v>243</v>
      </c>
      <c r="H8" s="27" t="s">
        <v>243</v>
      </c>
      <c r="I8" s="28" t="s">
        <v>221</v>
      </c>
      <c r="J8" s="33" t="s">
        <v>222</v>
      </c>
      <c r="K8" s="6" t="s">
        <v>69</v>
      </c>
    </row>
    <row r="9" spans="1:11" x14ac:dyDescent="0.25">
      <c r="A9" s="11">
        <v>118</v>
      </c>
      <c r="B9" s="1">
        <v>11</v>
      </c>
      <c r="C9" s="2" t="str">
        <f t="shared" si="0"/>
        <v>11-118</v>
      </c>
      <c r="D9" s="4" t="s">
        <v>5</v>
      </c>
      <c r="E9" s="24" t="s">
        <v>13</v>
      </c>
      <c r="F9" s="34">
        <v>64000</v>
      </c>
      <c r="G9" s="34">
        <v>110000</v>
      </c>
      <c r="H9" s="27" t="s">
        <v>238</v>
      </c>
      <c r="I9" s="28" t="s">
        <v>218</v>
      </c>
      <c r="J9" s="28" t="s">
        <v>223</v>
      </c>
      <c r="K9" s="6" t="s">
        <v>110</v>
      </c>
    </row>
    <row r="10" spans="1:11" x14ac:dyDescent="0.25">
      <c r="A10" s="12">
        <v>119</v>
      </c>
      <c r="B10" s="5">
        <v>11</v>
      </c>
      <c r="C10" s="2" t="str">
        <f t="shared" si="0"/>
        <v>11-119</v>
      </c>
      <c r="D10" s="6" t="s">
        <v>5</v>
      </c>
      <c r="E10" s="25" t="s">
        <v>14</v>
      </c>
      <c r="F10" s="27" t="s">
        <v>244</v>
      </c>
      <c r="G10" s="27" t="s">
        <v>244</v>
      </c>
      <c r="H10" s="27" t="s">
        <v>244</v>
      </c>
      <c r="I10" s="28" t="s">
        <v>218</v>
      </c>
      <c r="J10" s="28" t="s">
        <v>224</v>
      </c>
      <c r="K10" s="6" t="s">
        <v>123</v>
      </c>
    </row>
    <row r="11" spans="1:11" x14ac:dyDescent="0.25">
      <c r="A11" s="11">
        <v>120</v>
      </c>
      <c r="B11" s="1">
        <v>11</v>
      </c>
      <c r="C11" s="2" t="str">
        <f t="shared" si="0"/>
        <v>11-120</v>
      </c>
      <c r="D11" s="4" t="s">
        <v>5</v>
      </c>
      <c r="E11" s="24" t="s">
        <v>15</v>
      </c>
      <c r="F11" s="27" t="s">
        <v>235</v>
      </c>
      <c r="G11" s="27" t="s">
        <v>245</v>
      </c>
      <c r="H11" s="27" t="s">
        <v>238</v>
      </c>
      <c r="I11" s="28" t="s">
        <v>222</v>
      </c>
      <c r="J11" s="28" t="s">
        <v>225</v>
      </c>
      <c r="K11" s="6" t="s">
        <v>166</v>
      </c>
    </row>
    <row r="12" spans="1:11" x14ac:dyDescent="0.25">
      <c r="A12" s="11">
        <v>121</v>
      </c>
      <c r="B12" s="1">
        <v>11</v>
      </c>
      <c r="C12" s="2" t="str">
        <f t="shared" si="0"/>
        <v>11-121</v>
      </c>
      <c r="D12" s="4" t="s">
        <v>5</v>
      </c>
      <c r="E12" s="24" t="s">
        <v>16</v>
      </c>
      <c r="F12" s="27" t="s">
        <v>246</v>
      </c>
      <c r="G12" s="27" t="s">
        <v>247</v>
      </c>
      <c r="H12" s="27" t="s">
        <v>238</v>
      </c>
      <c r="I12" s="28" t="s">
        <v>223</v>
      </c>
      <c r="J12" s="28" t="s">
        <v>226</v>
      </c>
      <c r="K12" s="6" t="s">
        <v>172</v>
      </c>
    </row>
    <row r="13" spans="1:11" x14ac:dyDescent="0.25">
      <c r="A13" s="11">
        <v>111</v>
      </c>
      <c r="B13" s="1">
        <v>12</v>
      </c>
      <c r="C13" s="2" t="str">
        <f t="shared" si="0"/>
        <v>12-111</v>
      </c>
      <c r="D13" s="4" t="s">
        <v>17</v>
      </c>
      <c r="E13" s="24" t="s">
        <v>18</v>
      </c>
      <c r="F13" s="27" t="s">
        <v>248</v>
      </c>
      <c r="G13" s="27" t="s">
        <v>249</v>
      </c>
      <c r="H13" s="27" t="s">
        <v>238</v>
      </c>
      <c r="I13" s="28" t="s">
        <v>224</v>
      </c>
      <c r="J13" s="28" t="s">
        <v>227</v>
      </c>
      <c r="K13" s="6" t="s">
        <v>187</v>
      </c>
    </row>
    <row r="14" spans="1:11" x14ac:dyDescent="0.25">
      <c r="A14" s="11">
        <v>112</v>
      </c>
      <c r="B14" s="1">
        <v>12</v>
      </c>
      <c r="C14" s="2" t="str">
        <f t="shared" si="0"/>
        <v>12-112</v>
      </c>
      <c r="D14" s="4" t="s">
        <v>17</v>
      </c>
      <c r="E14" s="24" t="s">
        <v>19</v>
      </c>
      <c r="F14" s="27" t="s">
        <v>250</v>
      </c>
      <c r="G14" s="27" t="s">
        <v>251</v>
      </c>
      <c r="H14" s="27" t="s">
        <v>238</v>
      </c>
      <c r="I14" s="28" t="s">
        <v>218</v>
      </c>
      <c r="J14" s="28" t="s">
        <v>228</v>
      </c>
      <c r="K14" s="6" t="s">
        <v>205</v>
      </c>
    </row>
    <row r="15" spans="1:11" x14ac:dyDescent="0.25">
      <c r="A15" s="11">
        <v>113</v>
      </c>
      <c r="B15" s="1">
        <v>12</v>
      </c>
      <c r="C15" s="2" t="str">
        <f t="shared" si="0"/>
        <v>12-113</v>
      </c>
      <c r="D15" s="4" t="s">
        <v>17</v>
      </c>
      <c r="E15" s="24" t="s">
        <v>20</v>
      </c>
      <c r="F15" s="27" t="s">
        <v>252</v>
      </c>
      <c r="G15" s="27" t="s">
        <v>253</v>
      </c>
      <c r="H15" s="27" t="s">
        <v>238</v>
      </c>
      <c r="I15" s="28" t="s">
        <v>218</v>
      </c>
      <c r="J15" s="28" t="s">
        <v>352</v>
      </c>
      <c r="K15"/>
    </row>
    <row r="16" spans="1:11" x14ac:dyDescent="0.25">
      <c r="A16" s="11">
        <v>114</v>
      </c>
      <c r="B16" s="1">
        <v>12</v>
      </c>
      <c r="C16" s="2" t="str">
        <f t="shared" si="0"/>
        <v>12-114</v>
      </c>
      <c r="D16" s="4" t="s">
        <v>17</v>
      </c>
      <c r="E16" s="24" t="s">
        <v>21</v>
      </c>
      <c r="F16" s="27" t="s">
        <v>254</v>
      </c>
      <c r="G16" s="27" t="s">
        <v>245</v>
      </c>
      <c r="H16" s="27" t="s">
        <v>238</v>
      </c>
      <c r="I16" s="28" t="s">
        <v>218</v>
      </c>
      <c r="J16" s="28" t="s">
        <v>229</v>
      </c>
      <c r="K16"/>
    </row>
    <row r="17" spans="1:11" x14ac:dyDescent="0.25">
      <c r="A17" s="11">
        <v>115</v>
      </c>
      <c r="B17" s="1">
        <v>12</v>
      </c>
      <c r="C17" s="2" t="str">
        <f t="shared" si="0"/>
        <v>12-115</v>
      </c>
      <c r="D17" s="4" t="s">
        <v>17</v>
      </c>
      <c r="E17" s="24" t="s">
        <v>22</v>
      </c>
      <c r="F17" s="27" t="s">
        <v>252</v>
      </c>
      <c r="G17" s="27" t="s">
        <v>253</v>
      </c>
      <c r="H17" s="27" t="s">
        <v>238</v>
      </c>
      <c r="I17" s="28" t="s">
        <v>218</v>
      </c>
      <c r="J17" s="28" t="s">
        <v>353</v>
      </c>
      <c r="K17"/>
    </row>
    <row r="18" spans="1:11" x14ac:dyDescent="0.25">
      <c r="A18" s="11">
        <v>116</v>
      </c>
      <c r="B18" s="1">
        <v>12</v>
      </c>
      <c r="C18" s="2" t="str">
        <f t="shared" si="0"/>
        <v>12-116</v>
      </c>
      <c r="D18" s="4" t="s">
        <v>17</v>
      </c>
      <c r="E18" s="24" t="s">
        <v>23</v>
      </c>
      <c r="F18" s="27" t="s">
        <v>255</v>
      </c>
      <c r="G18" s="27" t="s">
        <v>237</v>
      </c>
      <c r="H18" s="27" t="s">
        <v>238</v>
      </c>
      <c r="I18" s="28" t="s">
        <v>218</v>
      </c>
      <c r="J18" s="35"/>
      <c r="K18"/>
    </row>
    <row r="19" spans="1:11" x14ac:dyDescent="0.25">
      <c r="A19" s="11">
        <v>117</v>
      </c>
      <c r="B19" s="1">
        <v>12</v>
      </c>
      <c r="C19" s="2" t="str">
        <f t="shared" si="0"/>
        <v>12-117</v>
      </c>
      <c r="D19" s="4" t="s">
        <v>17</v>
      </c>
      <c r="E19" s="24" t="s">
        <v>24</v>
      </c>
      <c r="F19" s="27" t="s">
        <v>250</v>
      </c>
      <c r="G19" s="27" t="s">
        <v>254</v>
      </c>
      <c r="H19" s="27" t="s">
        <v>238</v>
      </c>
      <c r="I19" s="28" t="s">
        <v>218</v>
      </c>
      <c r="J19" s="35" t="s">
        <v>360</v>
      </c>
      <c r="K19"/>
    </row>
    <row r="20" spans="1:11" x14ac:dyDescent="0.25">
      <c r="A20" s="11">
        <v>118</v>
      </c>
      <c r="B20" s="1">
        <v>12</v>
      </c>
      <c r="C20" s="2" t="str">
        <f t="shared" si="0"/>
        <v>12-118</v>
      </c>
      <c r="D20" s="4" t="s">
        <v>17</v>
      </c>
      <c r="E20" s="24" t="s">
        <v>25</v>
      </c>
      <c r="F20" s="27" t="s">
        <v>256</v>
      </c>
      <c r="G20" s="27" t="s">
        <v>257</v>
      </c>
      <c r="H20" s="27" t="s">
        <v>238</v>
      </c>
      <c r="I20" s="28" t="s">
        <v>218</v>
      </c>
      <c r="J20" s="35" t="s">
        <v>359</v>
      </c>
      <c r="K20"/>
    </row>
    <row r="21" spans="1:11" x14ac:dyDescent="0.25">
      <c r="A21" s="11">
        <v>119</v>
      </c>
      <c r="B21" s="1">
        <v>12</v>
      </c>
      <c r="C21" s="2" t="str">
        <f t="shared" si="0"/>
        <v>12-119</v>
      </c>
      <c r="D21" s="4" t="s">
        <v>17</v>
      </c>
      <c r="E21" s="24" t="s">
        <v>26</v>
      </c>
      <c r="F21" s="27" t="s">
        <v>250</v>
      </c>
      <c r="G21" s="27" t="s">
        <v>254</v>
      </c>
      <c r="H21" s="27" t="s">
        <v>238</v>
      </c>
      <c r="I21" s="28" t="s">
        <v>218</v>
      </c>
      <c r="J21" s="35" t="s">
        <v>358</v>
      </c>
      <c r="K21"/>
    </row>
    <row r="22" spans="1:11" x14ac:dyDescent="0.25">
      <c r="A22" s="11">
        <v>120</v>
      </c>
      <c r="B22" s="1">
        <v>12</v>
      </c>
      <c r="C22" s="2" t="str">
        <f t="shared" si="0"/>
        <v>12-120</v>
      </c>
      <c r="D22" s="4" t="s">
        <v>17</v>
      </c>
      <c r="E22" s="24" t="s">
        <v>27</v>
      </c>
      <c r="F22" s="27" t="s">
        <v>258</v>
      </c>
      <c r="G22" s="27" t="s">
        <v>258</v>
      </c>
      <c r="H22" s="27" t="s">
        <v>238</v>
      </c>
      <c r="I22" s="28" t="s">
        <v>221</v>
      </c>
      <c r="J22" s="33" t="s">
        <v>357</v>
      </c>
      <c r="K22"/>
    </row>
    <row r="23" spans="1:11" x14ac:dyDescent="0.25">
      <c r="A23" s="11">
        <v>121</v>
      </c>
      <c r="B23" s="1">
        <v>12</v>
      </c>
      <c r="C23" s="2" t="str">
        <f t="shared" si="0"/>
        <v>12-121</v>
      </c>
      <c r="D23" s="4" t="s">
        <v>17</v>
      </c>
      <c r="E23" s="24" t="s">
        <v>28</v>
      </c>
      <c r="F23" s="27" t="s">
        <v>259</v>
      </c>
      <c r="G23" s="27" t="s">
        <v>260</v>
      </c>
      <c r="H23" s="27" t="s">
        <v>238</v>
      </c>
      <c r="I23" s="28" t="s">
        <v>218</v>
      </c>
      <c r="J23" s="33" t="s">
        <v>230</v>
      </c>
      <c r="K23"/>
    </row>
    <row r="24" spans="1:11" x14ac:dyDescent="0.25">
      <c r="A24" s="11">
        <v>122</v>
      </c>
      <c r="B24" s="1">
        <v>12</v>
      </c>
      <c r="C24" s="2" t="str">
        <f t="shared" si="0"/>
        <v>12-122</v>
      </c>
      <c r="D24" s="4" t="s">
        <v>17</v>
      </c>
      <c r="E24" s="24" t="s">
        <v>29</v>
      </c>
      <c r="F24" s="27" t="s">
        <v>250</v>
      </c>
      <c r="G24" s="27" t="s">
        <v>254</v>
      </c>
      <c r="H24" s="27" t="s">
        <v>238</v>
      </c>
      <c r="I24" s="28" t="s">
        <v>218</v>
      </c>
      <c r="J24" s="28" t="s">
        <v>231</v>
      </c>
      <c r="K24"/>
    </row>
    <row r="25" spans="1:11" x14ac:dyDescent="0.25">
      <c r="A25" s="11">
        <v>123</v>
      </c>
      <c r="B25" s="1">
        <v>12</v>
      </c>
      <c r="C25" s="2" t="str">
        <f t="shared" si="0"/>
        <v>12-123</v>
      </c>
      <c r="D25" s="4" t="s">
        <v>17</v>
      </c>
      <c r="E25" s="24" t="s">
        <v>30</v>
      </c>
      <c r="F25" s="34">
        <v>53000</v>
      </c>
      <c r="G25" s="34">
        <v>53000</v>
      </c>
      <c r="H25" s="34">
        <v>53000</v>
      </c>
      <c r="I25" s="28" t="s">
        <v>218</v>
      </c>
      <c r="J25" s="28" t="s">
        <v>356</v>
      </c>
      <c r="K25"/>
    </row>
    <row r="26" spans="1:11" x14ac:dyDescent="0.25">
      <c r="A26" s="12">
        <v>124</v>
      </c>
      <c r="B26" s="5">
        <v>12</v>
      </c>
      <c r="C26" s="2" t="str">
        <f t="shared" si="0"/>
        <v>12-124</v>
      </c>
      <c r="D26" s="6" t="s">
        <v>17</v>
      </c>
      <c r="E26" s="25" t="s">
        <v>31</v>
      </c>
      <c r="F26" s="27" t="s">
        <v>261</v>
      </c>
      <c r="G26" s="27" t="s">
        <v>261</v>
      </c>
      <c r="H26" s="27" t="s">
        <v>238</v>
      </c>
      <c r="I26" s="28" t="s">
        <v>221</v>
      </c>
      <c r="J26" s="28" t="s">
        <v>355</v>
      </c>
      <c r="K26"/>
    </row>
    <row r="27" spans="1:11" x14ac:dyDescent="0.25">
      <c r="A27" s="12">
        <v>125</v>
      </c>
      <c r="B27" s="5">
        <v>12</v>
      </c>
      <c r="C27" s="2" t="str">
        <f t="shared" si="0"/>
        <v>12-125</v>
      </c>
      <c r="D27" s="6" t="s">
        <v>17</v>
      </c>
      <c r="E27" s="25" t="s">
        <v>32</v>
      </c>
      <c r="F27" s="27" t="s">
        <v>252</v>
      </c>
      <c r="G27" s="27" t="s">
        <v>253</v>
      </c>
      <c r="H27" s="27" t="s">
        <v>238</v>
      </c>
      <c r="I27" s="28" t="s">
        <v>218</v>
      </c>
      <c r="J27" s="28" t="s">
        <v>354</v>
      </c>
      <c r="K27"/>
    </row>
    <row r="28" spans="1:11" x14ac:dyDescent="0.25">
      <c r="A28" s="12">
        <v>126</v>
      </c>
      <c r="B28" s="5">
        <v>12</v>
      </c>
      <c r="C28" s="2" t="str">
        <f t="shared" si="0"/>
        <v>12-126</v>
      </c>
      <c r="D28" s="6" t="s">
        <v>17</v>
      </c>
      <c r="E28" s="25" t="s">
        <v>33</v>
      </c>
      <c r="F28" s="27" t="s">
        <v>262</v>
      </c>
      <c r="G28" s="27" t="s">
        <v>262</v>
      </c>
      <c r="H28" s="27" t="s">
        <v>262</v>
      </c>
      <c r="I28" s="28" t="s">
        <v>219</v>
      </c>
      <c r="J28" s="28" t="s">
        <v>232</v>
      </c>
      <c r="K28"/>
    </row>
    <row r="29" spans="1:11" x14ac:dyDescent="0.25">
      <c r="A29" s="12">
        <v>127</v>
      </c>
      <c r="B29" s="5">
        <v>12</v>
      </c>
      <c r="C29" s="2" t="str">
        <f t="shared" si="0"/>
        <v>12-127</v>
      </c>
      <c r="D29" s="6" t="s">
        <v>17</v>
      </c>
      <c r="E29" s="25" t="s">
        <v>34</v>
      </c>
      <c r="F29" s="27" t="s">
        <v>263</v>
      </c>
      <c r="G29" s="27" t="s">
        <v>263</v>
      </c>
      <c r="H29" s="27" t="s">
        <v>263</v>
      </c>
      <c r="I29" s="28" t="s">
        <v>218</v>
      </c>
      <c r="J29" s="28" t="s">
        <v>233</v>
      </c>
      <c r="K29"/>
    </row>
    <row r="30" spans="1:11" x14ac:dyDescent="0.25">
      <c r="A30" s="12">
        <v>111</v>
      </c>
      <c r="B30" s="5">
        <v>13</v>
      </c>
      <c r="C30" s="2" t="str">
        <f t="shared" si="0"/>
        <v>13-111</v>
      </c>
      <c r="D30" s="6" t="s">
        <v>35</v>
      </c>
      <c r="E30" s="25" t="s">
        <v>36</v>
      </c>
      <c r="F30" s="27" t="s">
        <v>264</v>
      </c>
      <c r="G30" s="27" t="s">
        <v>265</v>
      </c>
      <c r="H30" s="27" t="s">
        <v>238</v>
      </c>
      <c r="I30" s="28" t="s">
        <v>218</v>
      </c>
      <c r="J30"/>
      <c r="K30"/>
    </row>
    <row r="31" spans="1:11" x14ac:dyDescent="0.25">
      <c r="A31" s="12">
        <v>112</v>
      </c>
      <c r="B31" s="5">
        <v>13</v>
      </c>
      <c r="C31" s="2" t="str">
        <f t="shared" si="0"/>
        <v>13-112</v>
      </c>
      <c r="D31" s="6" t="s">
        <v>35</v>
      </c>
      <c r="E31" s="25" t="s">
        <v>37</v>
      </c>
      <c r="F31" s="27" t="s">
        <v>266</v>
      </c>
      <c r="G31" s="27" t="s">
        <v>266</v>
      </c>
      <c r="H31" s="27" t="s">
        <v>266</v>
      </c>
      <c r="I31" s="28" t="s">
        <v>225</v>
      </c>
      <c r="J31"/>
      <c r="K31"/>
    </row>
    <row r="32" spans="1:11" x14ac:dyDescent="0.25">
      <c r="A32" s="12">
        <v>113</v>
      </c>
      <c r="B32" s="5">
        <v>13</v>
      </c>
      <c r="C32" s="2" t="str">
        <f t="shared" si="0"/>
        <v>13-113</v>
      </c>
      <c r="D32" s="6" t="s">
        <v>35</v>
      </c>
      <c r="E32" s="25" t="s">
        <v>38</v>
      </c>
      <c r="F32" s="27" t="s">
        <v>267</v>
      </c>
      <c r="G32" s="27" t="s">
        <v>268</v>
      </c>
      <c r="H32" s="27" t="s">
        <v>238</v>
      </c>
      <c r="I32" s="28" t="s">
        <v>226</v>
      </c>
      <c r="J32"/>
      <c r="K32"/>
    </row>
    <row r="33" spans="1:11" x14ac:dyDescent="0.25">
      <c r="A33" s="12">
        <v>114</v>
      </c>
      <c r="B33" s="5">
        <v>13</v>
      </c>
      <c r="C33" s="2" t="str">
        <f t="shared" si="0"/>
        <v>13-114</v>
      </c>
      <c r="D33" s="6" t="s">
        <v>35</v>
      </c>
      <c r="E33" s="25" t="s">
        <v>39</v>
      </c>
      <c r="F33" s="27" t="s">
        <v>260</v>
      </c>
      <c r="G33" s="27" t="s">
        <v>269</v>
      </c>
      <c r="H33" s="27" t="s">
        <v>238</v>
      </c>
      <c r="I33" s="28" t="s">
        <v>227</v>
      </c>
      <c r="J33"/>
      <c r="K33"/>
    </row>
    <row r="34" spans="1:11" x14ac:dyDescent="0.25">
      <c r="A34" s="12">
        <v>115</v>
      </c>
      <c r="B34" s="5">
        <v>13</v>
      </c>
      <c r="C34" s="2" t="str">
        <f t="shared" si="0"/>
        <v>13-115</v>
      </c>
      <c r="D34" s="6" t="s">
        <v>35</v>
      </c>
      <c r="E34" s="25" t="s">
        <v>40</v>
      </c>
      <c r="F34" s="34">
        <v>25400</v>
      </c>
      <c r="G34" s="34">
        <v>25400</v>
      </c>
      <c r="H34" s="34">
        <v>25400</v>
      </c>
      <c r="I34" s="28" t="s">
        <v>221</v>
      </c>
      <c r="J34"/>
      <c r="K34"/>
    </row>
    <row r="35" spans="1:11" x14ac:dyDescent="0.25">
      <c r="A35" s="12">
        <v>116</v>
      </c>
      <c r="B35" s="5">
        <v>13</v>
      </c>
      <c r="C35" s="2" t="str">
        <f t="shared" si="0"/>
        <v>13-116</v>
      </c>
      <c r="D35" s="6" t="s">
        <v>35</v>
      </c>
      <c r="E35" s="25" t="s">
        <v>41</v>
      </c>
      <c r="F35" s="27" t="s">
        <v>260</v>
      </c>
      <c r="G35" s="27" t="s">
        <v>269</v>
      </c>
      <c r="H35" s="27" t="s">
        <v>238</v>
      </c>
      <c r="I35" s="28" t="s">
        <v>227</v>
      </c>
      <c r="J35"/>
      <c r="K35"/>
    </row>
    <row r="36" spans="1:11" x14ac:dyDescent="0.25">
      <c r="A36" s="12">
        <v>117</v>
      </c>
      <c r="B36" s="5">
        <v>13</v>
      </c>
      <c r="C36" s="2" t="str">
        <f t="shared" si="0"/>
        <v>13-117</v>
      </c>
      <c r="D36" s="6" t="s">
        <v>35</v>
      </c>
      <c r="E36" s="25" t="s">
        <v>42</v>
      </c>
      <c r="F36" s="27" t="s">
        <v>270</v>
      </c>
      <c r="G36" s="27" t="s">
        <v>270</v>
      </c>
      <c r="H36" s="27" t="s">
        <v>270</v>
      </c>
      <c r="I36" s="28" t="s">
        <v>221</v>
      </c>
      <c r="J36"/>
      <c r="K36"/>
    </row>
    <row r="37" spans="1:11" x14ac:dyDescent="0.25">
      <c r="A37" s="12">
        <v>118</v>
      </c>
      <c r="B37" s="5">
        <v>13</v>
      </c>
      <c r="C37" s="2" t="str">
        <f t="shared" si="0"/>
        <v>13-118</v>
      </c>
      <c r="D37" s="6" t="s">
        <v>35</v>
      </c>
      <c r="E37" s="25" t="s">
        <v>43</v>
      </c>
      <c r="F37" s="27" t="s">
        <v>271</v>
      </c>
      <c r="G37" s="27" t="s">
        <v>271</v>
      </c>
      <c r="H37" s="27" t="s">
        <v>271</v>
      </c>
      <c r="I37" s="28" t="s">
        <v>227</v>
      </c>
      <c r="J37"/>
      <c r="K37"/>
    </row>
    <row r="38" spans="1:11" x14ac:dyDescent="0.25">
      <c r="A38" s="12">
        <v>119</v>
      </c>
      <c r="B38" s="5">
        <v>13</v>
      </c>
      <c r="C38" s="2" t="str">
        <f t="shared" si="0"/>
        <v>13-119</v>
      </c>
      <c r="D38" s="6" t="s">
        <v>35</v>
      </c>
      <c r="E38" s="25" t="s">
        <v>44</v>
      </c>
      <c r="F38" s="27" t="s">
        <v>248</v>
      </c>
      <c r="G38" s="27" t="s">
        <v>272</v>
      </c>
      <c r="H38" s="27" t="s">
        <v>238</v>
      </c>
      <c r="I38" s="28" t="s">
        <v>227</v>
      </c>
      <c r="J38"/>
      <c r="K38"/>
    </row>
    <row r="39" spans="1:11" x14ac:dyDescent="0.25">
      <c r="A39" s="12">
        <v>111</v>
      </c>
      <c r="B39" s="5">
        <v>14</v>
      </c>
      <c r="C39" s="2" t="str">
        <f t="shared" si="0"/>
        <v>14-111</v>
      </c>
      <c r="D39" s="6" t="s">
        <v>45</v>
      </c>
      <c r="E39" s="25" t="s">
        <v>46</v>
      </c>
      <c r="F39" s="27" t="s">
        <v>273</v>
      </c>
      <c r="G39" s="27" t="s">
        <v>274</v>
      </c>
      <c r="H39" s="27" t="s">
        <v>238</v>
      </c>
      <c r="I39" s="28" t="s">
        <v>227</v>
      </c>
      <c r="J39"/>
      <c r="K39"/>
    </row>
    <row r="40" spans="1:11" x14ac:dyDescent="0.25">
      <c r="A40" s="12">
        <v>112</v>
      </c>
      <c r="B40" s="5">
        <v>14</v>
      </c>
      <c r="C40" s="2" t="str">
        <f t="shared" si="0"/>
        <v>14-112</v>
      </c>
      <c r="D40" s="6" t="s">
        <v>45</v>
      </c>
      <c r="E40" s="25" t="s">
        <v>47</v>
      </c>
      <c r="F40" s="27" t="s">
        <v>275</v>
      </c>
      <c r="G40" s="27" t="s">
        <v>274</v>
      </c>
      <c r="H40" s="27" t="s">
        <v>238</v>
      </c>
      <c r="I40" s="28" t="s">
        <v>227</v>
      </c>
      <c r="J40"/>
      <c r="K40"/>
    </row>
    <row r="41" spans="1:11" x14ac:dyDescent="0.25">
      <c r="A41" s="12">
        <v>113</v>
      </c>
      <c r="B41" s="5">
        <v>14</v>
      </c>
      <c r="C41" s="2" t="str">
        <f t="shared" si="0"/>
        <v>14-113</v>
      </c>
      <c r="D41" s="6" t="s">
        <v>45</v>
      </c>
      <c r="E41" s="25" t="s">
        <v>48</v>
      </c>
      <c r="F41" s="27" t="s">
        <v>276</v>
      </c>
      <c r="G41" s="27" t="s">
        <v>263</v>
      </c>
      <c r="H41" s="27" t="s">
        <v>238</v>
      </c>
      <c r="I41" s="28" t="s">
        <v>227</v>
      </c>
      <c r="J41"/>
      <c r="K41"/>
    </row>
    <row r="42" spans="1:11" x14ac:dyDescent="0.25">
      <c r="A42" s="12">
        <v>114</v>
      </c>
      <c r="B42" s="5">
        <v>14</v>
      </c>
      <c r="C42" s="2" t="str">
        <f t="shared" si="0"/>
        <v>14-114</v>
      </c>
      <c r="D42" s="6" t="s">
        <v>45</v>
      </c>
      <c r="E42" s="25" t="s">
        <v>49</v>
      </c>
      <c r="F42" s="27" t="s">
        <v>273</v>
      </c>
      <c r="G42" s="27" t="s">
        <v>274</v>
      </c>
      <c r="H42" s="27" t="s">
        <v>238</v>
      </c>
      <c r="I42" s="28" t="s">
        <v>227</v>
      </c>
      <c r="J42"/>
      <c r="K42"/>
    </row>
    <row r="43" spans="1:11" x14ac:dyDescent="0.25">
      <c r="A43" s="12">
        <v>115</v>
      </c>
      <c r="B43" s="5">
        <v>14</v>
      </c>
      <c r="C43" s="2" t="str">
        <f t="shared" si="0"/>
        <v>14-115</v>
      </c>
      <c r="D43" s="6" t="s">
        <v>45</v>
      </c>
      <c r="E43" s="25" t="s">
        <v>50</v>
      </c>
      <c r="F43" s="34">
        <v>1650000</v>
      </c>
      <c r="G43" s="34">
        <v>1650000</v>
      </c>
      <c r="H43" s="34">
        <v>1650000</v>
      </c>
      <c r="I43" s="28" t="s">
        <v>219</v>
      </c>
      <c r="J43"/>
      <c r="K43"/>
    </row>
    <row r="44" spans="1:11" x14ac:dyDescent="0.25">
      <c r="A44" s="12">
        <v>116</v>
      </c>
      <c r="B44" s="5">
        <v>14</v>
      </c>
      <c r="C44" s="2" t="str">
        <f t="shared" si="0"/>
        <v>14-116</v>
      </c>
      <c r="D44" s="6" t="s">
        <v>45</v>
      </c>
      <c r="E44" s="25" t="s">
        <v>51</v>
      </c>
      <c r="F44" s="34">
        <v>1320000</v>
      </c>
      <c r="G44" s="34">
        <v>2060000</v>
      </c>
      <c r="H44" s="27" t="s">
        <v>238</v>
      </c>
      <c r="I44" s="28" t="s">
        <v>227</v>
      </c>
      <c r="J44"/>
      <c r="K44"/>
    </row>
    <row r="45" spans="1:11" x14ac:dyDescent="0.25">
      <c r="A45" s="12">
        <v>117</v>
      </c>
      <c r="B45" s="5">
        <v>14</v>
      </c>
      <c r="C45" s="2" t="str">
        <f t="shared" si="0"/>
        <v>14-117</v>
      </c>
      <c r="D45" s="6" t="s">
        <v>45</v>
      </c>
      <c r="E45" s="25" t="s">
        <v>52</v>
      </c>
      <c r="F45" s="27" t="s">
        <v>277</v>
      </c>
      <c r="G45" s="27" t="s">
        <v>278</v>
      </c>
      <c r="H45" s="27" t="s">
        <v>238</v>
      </c>
      <c r="I45" s="28" t="s">
        <v>227</v>
      </c>
      <c r="J45"/>
      <c r="K45"/>
    </row>
    <row r="46" spans="1:11" x14ac:dyDescent="0.25">
      <c r="A46" s="12">
        <v>118</v>
      </c>
      <c r="B46" s="5">
        <v>14</v>
      </c>
      <c r="C46" s="2" t="str">
        <f t="shared" si="0"/>
        <v>14-118</v>
      </c>
      <c r="D46" s="6" t="s">
        <v>45</v>
      </c>
      <c r="E46" s="25" t="s">
        <v>53</v>
      </c>
      <c r="F46" s="27" t="s">
        <v>277</v>
      </c>
      <c r="G46" s="27" t="s">
        <v>278</v>
      </c>
      <c r="H46" s="27" t="s">
        <v>238</v>
      </c>
      <c r="I46" s="28" t="s">
        <v>227</v>
      </c>
      <c r="J46"/>
      <c r="K46"/>
    </row>
    <row r="47" spans="1:11" x14ac:dyDescent="0.25">
      <c r="A47" s="12">
        <v>119</v>
      </c>
      <c r="B47" s="5">
        <v>14</v>
      </c>
      <c r="C47" s="2" t="str">
        <f t="shared" si="0"/>
        <v>14-119</v>
      </c>
      <c r="D47" s="6" t="s">
        <v>45</v>
      </c>
      <c r="E47" s="25" t="s">
        <v>54</v>
      </c>
      <c r="F47" s="34">
        <v>3200000</v>
      </c>
      <c r="G47" s="34">
        <v>5200000</v>
      </c>
      <c r="H47" s="27" t="s">
        <v>238</v>
      </c>
      <c r="I47" s="28" t="s">
        <v>227</v>
      </c>
      <c r="J47"/>
      <c r="K47"/>
    </row>
    <row r="48" spans="1:11" x14ac:dyDescent="0.25">
      <c r="A48" s="12">
        <v>111</v>
      </c>
      <c r="B48" s="5">
        <v>15</v>
      </c>
      <c r="C48" s="2" t="str">
        <f t="shared" si="0"/>
        <v>15-111</v>
      </c>
      <c r="D48" s="6" t="s">
        <v>55</v>
      </c>
      <c r="E48" s="25" t="s">
        <v>56</v>
      </c>
      <c r="F48" s="27" t="s">
        <v>279</v>
      </c>
      <c r="G48" s="27" t="s">
        <v>280</v>
      </c>
      <c r="H48" s="27" t="s">
        <v>238</v>
      </c>
      <c r="I48" s="28" t="s">
        <v>227</v>
      </c>
      <c r="J48"/>
      <c r="K48"/>
    </row>
    <row r="49" spans="1:11" x14ac:dyDescent="0.25">
      <c r="A49" s="12">
        <v>112</v>
      </c>
      <c r="B49" s="5">
        <v>15</v>
      </c>
      <c r="C49" s="2" t="str">
        <f t="shared" si="0"/>
        <v>15-112</v>
      </c>
      <c r="D49" s="6" t="s">
        <v>55</v>
      </c>
      <c r="E49" s="25" t="s">
        <v>57</v>
      </c>
      <c r="F49" s="27" t="s">
        <v>281</v>
      </c>
      <c r="G49" s="27" t="s">
        <v>282</v>
      </c>
      <c r="H49" s="27" t="s">
        <v>238</v>
      </c>
      <c r="I49" s="28" t="s">
        <v>227</v>
      </c>
      <c r="J49"/>
      <c r="K49"/>
    </row>
    <row r="50" spans="1:11" x14ac:dyDescent="0.25">
      <c r="A50" s="12">
        <v>113</v>
      </c>
      <c r="B50" s="5">
        <v>15</v>
      </c>
      <c r="C50" s="2" t="str">
        <f t="shared" si="0"/>
        <v>15-113</v>
      </c>
      <c r="D50" s="6" t="s">
        <v>55</v>
      </c>
      <c r="E50" s="25" t="s">
        <v>58</v>
      </c>
      <c r="F50" s="27" t="s">
        <v>281</v>
      </c>
      <c r="G50" s="27" t="s">
        <v>283</v>
      </c>
      <c r="H50" s="27" t="s">
        <v>238</v>
      </c>
      <c r="I50" s="28" t="s">
        <v>227</v>
      </c>
      <c r="J50"/>
      <c r="K50"/>
    </row>
    <row r="51" spans="1:11" x14ac:dyDescent="0.25">
      <c r="A51" s="12">
        <v>114</v>
      </c>
      <c r="B51" s="5">
        <v>15</v>
      </c>
      <c r="C51" s="2" t="str">
        <f t="shared" si="0"/>
        <v>15-114</v>
      </c>
      <c r="D51" s="6" t="s">
        <v>55</v>
      </c>
      <c r="E51" s="25" t="s">
        <v>59</v>
      </c>
      <c r="F51" s="27" t="s">
        <v>284</v>
      </c>
      <c r="G51" s="27" t="s">
        <v>284</v>
      </c>
      <c r="H51" s="27" t="s">
        <v>238</v>
      </c>
      <c r="I51" s="28" t="s">
        <v>228</v>
      </c>
      <c r="J51"/>
      <c r="K51"/>
    </row>
    <row r="52" spans="1:11" x14ac:dyDescent="0.25">
      <c r="A52" s="12">
        <v>115</v>
      </c>
      <c r="B52" s="5">
        <v>15</v>
      </c>
      <c r="C52" s="2" t="str">
        <f t="shared" si="0"/>
        <v>15-115</v>
      </c>
      <c r="D52" s="6" t="s">
        <v>55</v>
      </c>
      <c r="E52" s="25" t="s">
        <v>60</v>
      </c>
      <c r="F52" s="27" t="s">
        <v>264</v>
      </c>
      <c r="G52" s="27" t="s">
        <v>285</v>
      </c>
      <c r="H52" s="27" t="s">
        <v>238</v>
      </c>
      <c r="I52" s="28" t="s">
        <v>227</v>
      </c>
      <c r="J52"/>
      <c r="K52"/>
    </row>
    <row r="53" spans="1:11" x14ac:dyDescent="0.25">
      <c r="A53" s="12">
        <v>116</v>
      </c>
      <c r="B53" s="5">
        <v>15</v>
      </c>
      <c r="C53" s="2" t="str">
        <f t="shared" si="0"/>
        <v>15-116</v>
      </c>
      <c r="D53" s="6" t="s">
        <v>55</v>
      </c>
      <c r="E53" s="25" t="s">
        <v>61</v>
      </c>
      <c r="F53" s="34">
        <v>4900000</v>
      </c>
      <c r="G53" s="34">
        <v>4900000</v>
      </c>
      <c r="H53" s="34">
        <v>4900000</v>
      </c>
      <c r="I53" s="28" t="s">
        <v>227</v>
      </c>
      <c r="J53"/>
      <c r="K53"/>
    </row>
    <row r="54" spans="1:11" x14ac:dyDescent="0.25">
      <c r="A54" s="12">
        <v>117</v>
      </c>
      <c r="B54" s="5">
        <v>15</v>
      </c>
      <c r="C54" s="2" t="str">
        <f t="shared" si="0"/>
        <v>15-117</v>
      </c>
      <c r="D54" s="6" t="s">
        <v>55</v>
      </c>
      <c r="E54" s="25" t="s">
        <v>62</v>
      </c>
      <c r="F54" s="34">
        <v>1500000</v>
      </c>
      <c r="G54" s="34">
        <v>5800000</v>
      </c>
      <c r="H54" s="34" t="s">
        <v>238</v>
      </c>
      <c r="I54" s="28" t="s">
        <v>227</v>
      </c>
      <c r="J54"/>
      <c r="K54"/>
    </row>
    <row r="55" spans="1:11" x14ac:dyDescent="0.25">
      <c r="A55" s="12">
        <v>111</v>
      </c>
      <c r="B55" s="5">
        <v>16</v>
      </c>
      <c r="C55" s="2" t="str">
        <f t="shared" si="0"/>
        <v>16-111</v>
      </c>
      <c r="D55" s="6" t="s">
        <v>63</v>
      </c>
      <c r="E55" s="25" t="s">
        <v>64</v>
      </c>
      <c r="F55" s="27" t="s">
        <v>286</v>
      </c>
      <c r="G55" s="27" t="s">
        <v>286</v>
      </c>
      <c r="H55" s="27" t="s">
        <v>286</v>
      </c>
      <c r="I55" s="28" t="s">
        <v>227</v>
      </c>
      <c r="J55"/>
      <c r="K55"/>
    </row>
    <row r="56" spans="1:11" x14ac:dyDescent="0.25">
      <c r="A56" s="12">
        <v>112</v>
      </c>
      <c r="B56" s="5">
        <v>16</v>
      </c>
      <c r="C56" s="2" t="str">
        <f t="shared" si="0"/>
        <v>16-112</v>
      </c>
      <c r="D56" s="6" t="s">
        <v>63</v>
      </c>
      <c r="E56" s="25" t="s">
        <v>65</v>
      </c>
      <c r="F56" s="27" t="s">
        <v>287</v>
      </c>
      <c r="G56" s="27" t="s">
        <v>287</v>
      </c>
      <c r="H56" s="27" t="s">
        <v>287</v>
      </c>
      <c r="I56" s="33" t="s">
        <v>220</v>
      </c>
      <c r="J56"/>
      <c r="K56"/>
    </row>
    <row r="57" spans="1:11" x14ac:dyDescent="0.25">
      <c r="A57" s="12">
        <v>113</v>
      </c>
      <c r="B57" s="5">
        <v>16</v>
      </c>
      <c r="C57" s="2" t="str">
        <f t="shared" si="0"/>
        <v>16-113</v>
      </c>
      <c r="D57" s="6" t="s">
        <v>63</v>
      </c>
      <c r="E57" s="25" t="s">
        <v>66</v>
      </c>
      <c r="F57" s="34">
        <v>1740000</v>
      </c>
      <c r="G57" s="34">
        <v>3100000</v>
      </c>
      <c r="H57" s="34" t="s">
        <v>238</v>
      </c>
      <c r="I57" s="28" t="s">
        <v>227</v>
      </c>
      <c r="J57"/>
      <c r="K57"/>
    </row>
    <row r="58" spans="1:11" x14ac:dyDescent="0.25">
      <c r="A58" s="12">
        <v>114</v>
      </c>
      <c r="B58" s="5">
        <v>16</v>
      </c>
      <c r="C58" s="2" t="str">
        <f t="shared" si="0"/>
        <v>16-114</v>
      </c>
      <c r="D58" s="6" t="s">
        <v>63</v>
      </c>
      <c r="E58" s="25" t="s">
        <v>67</v>
      </c>
      <c r="F58" s="27" t="s">
        <v>287</v>
      </c>
      <c r="G58" s="27" t="s">
        <v>287</v>
      </c>
      <c r="H58" s="27" t="s">
        <v>287</v>
      </c>
      <c r="I58" s="33" t="s">
        <v>220</v>
      </c>
      <c r="J58"/>
      <c r="K58"/>
    </row>
    <row r="59" spans="1:11" x14ac:dyDescent="0.25">
      <c r="A59" s="12">
        <v>115</v>
      </c>
      <c r="B59" s="5">
        <v>16</v>
      </c>
      <c r="C59" s="2" t="str">
        <f t="shared" si="0"/>
        <v>16-115</v>
      </c>
      <c r="D59" s="6" t="s">
        <v>63</v>
      </c>
      <c r="E59" s="25" t="s">
        <v>68</v>
      </c>
      <c r="F59" s="27" t="s">
        <v>287</v>
      </c>
      <c r="G59" s="27" t="s">
        <v>287</v>
      </c>
      <c r="H59" s="27" t="s">
        <v>287</v>
      </c>
      <c r="I59" s="28" t="s">
        <v>220</v>
      </c>
      <c r="J59"/>
      <c r="K59"/>
    </row>
    <row r="60" spans="1:11" x14ac:dyDescent="0.25">
      <c r="A60" s="12">
        <v>111</v>
      </c>
      <c r="B60" s="5">
        <v>17</v>
      </c>
      <c r="C60" s="2" t="str">
        <f t="shared" si="0"/>
        <v>17-111</v>
      </c>
      <c r="D60" s="6" t="s">
        <v>69</v>
      </c>
      <c r="E60" s="25" t="s">
        <v>70</v>
      </c>
      <c r="F60" s="27" t="s">
        <v>273</v>
      </c>
      <c r="G60" s="27" t="s">
        <v>288</v>
      </c>
      <c r="H60" s="27" t="s">
        <v>238</v>
      </c>
      <c r="I60" s="28" t="s">
        <v>227</v>
      </c>
      <c r="J60"/>
      <c r="K60"/>
    </row>
    <row r="61" spans="1:11" x14ac:dyDescent="0.25">
      <c r="A61" s="12">
        <v>112</v>
      </c>
      <c r="B61" s="5">
        <v>17</v>
      </c>
      <c r="C61" s="2" t="str">
        <f t="shared" si="0"/>
        <v>17-112</v>
      </c>
      <c r="D61" s="6" t="s">
        <v>69</v>
      </c>
      <c r="E61" s="25" t="s">
        <v>71</v>
      </c>
      <c r="F61" s="27" t="s">
        <v>289</v>
      </c>
      <c r="G61" s="27" t="s">
        <v>290</v>
      </c>
      <c r="H61" s="27" t="s">
        <v>238</v>
      </c>
      <c r="I61" s="28" t="s">
        <v>227</v>
      </c>
      <c r="J61"/>
      <c r="K61"/>
    </row>
    <row r="62" spans="1:11" x14ac:dyDescent="0.25">
      <c r="A62" s="12">
        <v>113</v>
      </c>
      <c r="B62" s="5">
        <v>17</v>
      </c>
      <c r="C62" s="2" t="str">
        <f t="shared" si="0"/>
        <v>17-113</v>
      </c>
      <c r="D62" s="6" t="s">
        <v>69</v>
      </c>
      <c r="E62" s="25" t="s">
        <v>72</v>
      </c>
      <c r="F62" s="27" t="s">
        <v>276</v>
      </c>
      <c r="G62" s="27" t="s">
        <v>291</v>
      </c>
      <c r="H62" s="27" t="s">
        <v>238</v>
      </c>
      <c r="I62" s="28" t="s">
        <v>227</v>
      </c>
      <c r="J62"/>
      <c r="K62"/>
    </row>
    <row r="63" spans="1:11" x14ac:dyDescent="0.25">
      <c r="A63" s="12">
        <v>114</v>
      </c>
      <c r="B63" s="5">
        <v>17</v>
      </c>
      <c r="C63" s="2" t="str">
        <f t="shared" si="0"/>
        <v>17-114</v>
      </c>
      <c r="D63" s="6" t="s">
        <v>69</v>
      </c>
      <c r="E63" s="25" t="s">
        <v>73</v>
      </c>
      <c r="F63" s="27" t="s">
        <v>289</v>
      </c>
      <c r="G63" s="27" t="s">
        <v>290</v>
      </c>
      <c r="H63" s="27" t="s">
        <v>238</v>
      </c>
      <c r="I63" s="28" t="s">
        <v>227</v>
      </c>
      <c r="J63"/>
      <c r="K63"/>
    </row>
    <row r="64" spans="1:11" x14ac:dyDescent="0.25">
      <c r="A64" s="12">
        <v>115</v>
      </c>
      <c r="B64" s="5">
        <v>17</v>
      </c>
      <c r="C64" s="2" t="str">
        <f t="shared" si="0"/>
        <v>17-115</v>
      </c>
      <c r="D64" s="6" t="s">
        <v>69</v>
      </c>
      <c r="E64" s="25" t="s">
        <v>74</v>
      </c>
      <c r="F64" s="27" t="s">
        <v>289</v>
      </c>
      <c r="G64" s="27" t="s">
        <v>290</v>
      </c>
      <c r="H64" s="27" t="s">
        <v>238</v>
      </c>
      <c r="I64" s="28" t="s">
        <v>227</v>
      </c>
      <c r="J64"/>
      <c r="K64"/>
    </row>
    <row r="65" spans="1:11" x14ac:dyDescent="0.25">
      <c r="A65" s="12">
        <v>116</v>
      </c>
      <c r="B65" s="5">
        <v>17</v>
      </c>
      <c r="C65" s="2" t="str">
        <f t="shared" si="0"/>
        <v>17-116</v>
      </c>
      <c r="D65" s="6" t="s">
        <v>69</v>
      </c>
      <c r="E65" s="25" t="s">
        <v>75</v>
      </c>
      <c r="F65" s="27" t="s">
        <v>289</v>
      </c>
      <c r="G65" s="27" t="s">
        <v>290</v>
      </c>
      <c r="H65" s="27" t="s">
        <v>238</v>
      </c>
      <c r="I65" s="28" t="s">
        <v>227</v>
      </c>
      <c r="J65"/>
      <c r="K65"/>
    </row>
    <row r="66" spans="1:11" x14ac:dyDescent="0.25">
      <c r="A66" s="12">
        <v>117</v>
      </c>
      <c r="B66" s="5">
        <v>17</v>
      </c>
      <c r="C66" s="2" t="str">
        <f t="shared" ref="C66:C129" si="1">CONCATENATE(B66, "-", A66)</f>
        <v>17-117</v>
      </c>
      <c r="D66" s="6" t="s">
        <v>69</v>
      </c>
      <c r="E66" s="25" t="s">
        <v>76</v>
      </c>
      <c r="F66" s="27" t="s">
        <v>289</v>
      </c>
      <c r="G66" s="27" t="s">
        <v>290</v>
      </c>
      <c r="H66" s="27" t="s">
        <v>238</v>
      </c>
      <c r="I66" s="28" t="s">
        <v>227</v>
      </c>
      <c r="J66"/>
      <c r="K66"/>
    </row>
    <row r="67" spans="1:11" x14ac:dyDescent="0.25">
      <c r="A67" s="12">
        <v>118</v>
      </c>
      <c r="B67" s="5">
        <v>17</v>
      </c>
      <c r="C67" s="2" t="str">
        <f t="shared" si="1"/>
        <v>17-118</v>
      </c>
      <c r="D67" s="6" t="s">
        <v>69</v>
      </c>
      <c r="E67" s="25" t="s">
        <v>77</v>
      </c>
      <c r="F67" s="27" t="s">
        <v>289</v>
      </c>
      <c r="G67" s="27" t="s">
        <v>290</v>
      </c>
      <c r="H67" s="27" t="s">
        <v>238</v>
      </c>
      <c r="I67" s="28" t="s">
        <v>227</v>
      </c>
      <c r="J67"/>
      <c r="K67"/>
    </row>
    <row r="68" spans="1:11" x14ac:dyDescent="0.25">
      <c r="A68" s="12">
        <v>119</v>
      </c>
      <c r="B68" s="5">
        <v>17</v>
      </c>
      <c r="C68" s="2" t="str">
        <f t="shared" si="1"/>
        <v>17-119</v>
      </c>
      <c r="D68" s="6" t="s">
        <v>69</v>
      </c>
      <c r="E68" s="25" t="s">
        <v>78</v>
      </c>
      <c r="F68" s="27" t="s">
        <v>292</v>
      </c>
      <c r="G68" s="27" t="s">
        <v>292</v>
      </c>
      <c r="H68" s="27" t="s">
        <v>292</v>
      </c>
      <c r="I68" s="28" t="s">
        <v>227</v>
      </c>
      <c r="J68"/>
      <c r="K68"/>
    </row>
    <row r="69" spans="1:11" x14ac:dyDescent="0.25">
      <c r="A69" s="12">
        <v>120</v>
      </c>
      <c r="B69" s="5">
        <v>17</v>
      </c>
      <c r="C69" s="2" t="str">
        <f t="shared" si="1"/>
        <v>17-120</v>
      </c>
      <c r="D69" s="6" t="s">
        <v>69</v>
      </c>
      <c r="E69" s="25" t="s">
        <v>79</v>
      </c>
      <c r="F69" s="27" t="s">
        <v>289</v>
      </c>
      <c r="G69" s="27" t="s">
        <v>290</v>
      </c>
      <c r="H69" s="27" t="s">
        <v>238</v>
      </c>
      <c r="I69" s="28" t="s">
        <v>227</v>
      </c>
      <c r="J69"/>
      <c r="K69"/>
    </row>
    <row r="70" spans="1:11" x14ac:dyDescent="0.25">
      <c r="A70" s="12">
        <v>121</v>
      </c>
      <c r="B70" s="5">
        <v>17</v>
      </c>
      <c r="C70" s="2" t="str">
        <f t="shared" si="1"/>
        <v>17-121</v>
      </c>
      <c r="D70" s="6" t="s">
        <v>69</v>
      </c>
      <c r="E70" s="25" t="s">
        <v>80</v>
      </c>
      <c r="F70" s="27" t="s">
        <v>292</v>
      </c>
      <c r="G70" s="27" t="s">
        <v>292</v>
      </c>
      <c r="H70" s="27" t="s">
        <v>292</v>
      </c>
      <c r="I70" s="28" t="s">
        <v>227</v>
      </c>
      <c r="J70"/>
      <c r="K70"/>
    </row>
    <row r="71" spans="1:11" x14ac:dyDescent="0.25">
      <c r="A71" s="12">
        <v>122</v>
      </c>
      <c r="B71" s="5">
        <v>17</v>
      </c>
      <c r="C71" s="2" t="str">
        <f t="shared" si="1"/>
        <v>17-122</v>
      </c>
      <c r="D71" s="6" t="s">
        <v>69</v>
      </c>
      <c r="E71" s="25" t="s">
        <v>81</v>
      </c>
      <c r="F71" s="27" t="s">
        <v>289</v>
      </c>
      <c r="G71" s="27" t="s">
        <v>290</v>
      </c>
      <c r="H71" s="27" t="s">
        <v>238</v>
      </c>
      <c r="I71" s="28" t="s">
        <v>227</v>
      </c>
      <c r="J71"/>
      <c r="K71"/>
    </row>
    <row r="72" spans="1:11" x14ac:dyDescent="0.25">
      <c r="A72" s="12">
        <v>123</v>
      </c>
      <c r="B72" s="5">
        <v>17</v>
      </c>
      <c r="C72" s="2" t="str">
        <f t="shared" si="1"/>
        <v>17-123</v>
      </c>
      <c r="D72" s="6" t="s">
        <v>69</v>
      </c>
      <c r="E72" s="25" t="s">
        <v>82</v>
      </c>
      <c r="F72" s="27" t="s">
        <v>289</v>
      </c>
      <c r="G72" s="27" t="s">
        <v>290</v>
      </c>
      <c r="H72" s="27" t="s">
        <v>238</v>
      </c>
      <c r="I72" s="28" t="s">
        <v>227</v>
      </c>
      <c r="J72"/>
      <c r="K72"/>
    </row>
    <row r="73" spans="1:11" x14ac:dyDescent="0.25">
      <c r="A73" s="12">
        <v>124</v>
      </c>
      <c r="B73" s="5">
        <v>17</v>
      </c>
      <c r="C73" s="2" t="str">
        <f t="shared" si="1"/>
        <v>17-124</v>
      </c>
      <c r="D73" s="6" t="s">
        <v>69</v>
      </c>
      <c r="E73" s="25" t="s">
        <v>83</v>
      </c>
      <c r="F73" s="27" t="s">
        <v>289</v>
      </c>
      <c r="G73" s="27" t="s">
        <v>290</v>
      </c>
      <c r="H73" s="27" t="s">
        <v>238</v>
      </c>
      <c r="I73" s="28" t="s">
        <v>227</v>
      </c>
      <c r="J73"/>
      <c r="K73"/>
    </row>
    <row r="74" spans="1:11" x14ac:dyDescent="0.25">
      <c r="A74" s="12">
        <v>125</v>
      </c>
      <c r="B74" s="5">
        <v>17</v>
      </c>
      <c r="C74" s="2" t="str">
        <f t="shared" si="1"/>
        <v>17-125</v>
      </c>
      <c r="D74" s="6" t="s">
        <v>69</v>
      </c>
      <c r="E74" s="25" t="s">
        <v>84</v>
      </c>
      <c r="F74" s="27" t="s">
        <v>293</v>
      </c>
      <c r="G74" s="27" t="s">
        <v>293</v>
      </c>
      <c r="H74" s="27" t="s">
        <v>293</v>
      </c>
      <c r="I74" s="28" t="s">
        <v>228</v>
      </c>
      <c r="J74"/>
      <c r="K74"/>
    </row>
    <row r="75" spans="1:11" x14ac:dyDescent="0.25">
      <c r="A75" s="12">
        <v>126</v>
      </c>
      <c r="B75" s="5">
        <v>17</v>
      </c>
      <c r="C75" s="2" t="str">
        <f t="shared" si="1"/>
        <v>17-126</v>
      </c>
      <c r="D75" s="6" t="s">
        <v>69</v>
      </c>
      <c r="E75" s="25" t="s">
        <v>85</v>
      </c>
      <c r="F75" s="27" t="s">
        <v>294</v>
      </c>
      <c r="G75" s="27" t="s">
        <v>294</v>
      </c>
      <c r="H75" s="27" t="s">
        <v>294</v>
      </c>
      <c r="I75" s="28" t="s">
        <v>227</v>
      </c>
      <c r="J75"/>
      <c r="K75"/>
    </row>
    <row r="76" spans="1:11" x14ac:dyDescent="0.25">
      <c r="A76" s="12">
        <v>127</v>
      </c>
      <c r="B76" s="5">
        <v>17</v>
      </c>
      <c r="C76" s="2" t="str">
        <f t="shared" si="1"/>
        <v>17-127</v>
      </c>
      <c r="D76" s="6" t="s">
        <v>69</v>
      </c>
      <c r="E76" s="25" t="s">
        <v>86</v>
      </c>
      <c r="F76" s="27" t="s">
        <v>289</v>
      </c>
      <c r="G76" s="27" t="s">
        <v>290</v>
      </c>
      <c r="H76" s="27" t="s">
        <v>238</v>
      </c>
      <c r="I76" s="28" t="s">
        <v>227</v>
      </c>
      <c r="J76"/>
      <c r="K76"/>
    </row>
    <row r="77" spans="1:11" x14ac:dyDescent="0.25">
      <c r="A77" s="12">
        <v>128</v>
      </c>
      <c r="B77" s="5">
        <v>17</v>
      </c>
      <c r="C77" s="2" t="str">
        <f t="shared" si="1"/>
        <v>17-128</v>
      </c>
      <c r="D77" s="6" t="s">
        <v>69</v>
      </c>
      <c r="E77" s="25" t="s">
        <v>87</v>
      </c>
      <c r="F77" s="27" t="s">
        <v>273</v>
      </c>
      <c r="G77" s="27" t="s">
        <v>288</v>
      </c>
      <c r="H77" s="27" t="s">
        <v>238</v>
      </c>
      <c r="I77" s="28" t="s">
        <v>227</v>
      </c>
      <c r="J77"/>
      <c r="K77"/>
    </row>
    <row r="78" spans="1:11" x14ac:dyDescent="0.25">
      <c r="A78" s="12">
        <v>129</v>
      </c>
      <c r="B78" s="5">
        <v>17</v>
      </c>
      <c r="C78" s="2" t="str">
        <f t="shared" si="1"/>
        <v>17-129</v>
      </c>
      <c r="D78" s="6" t="s">
        <v>69</v>
      </c>
      <c r="E78" s="25" t="s">
        <v>88</v>
      </c>
      <c r="F78" s="27" t="s">
        <v>295</v>
      </c>
      <c r="G78" s="27" t="s">
        <v>295</v>
      </c>
      <c r="H78" s="27" t="s">
        <v>295</v>
      </c>
      <c r="I78" s="28" t="s">
        <v>227</v>
      </c>
      <c r="J78"/>
      <c r="K78"/>
    </row>
    <row r="79" spans="1:11" x14ac:dyDescent="0.25">
      <c r="A79" s="12">
        <v>130</v>
      </c>
      <c r="B79" s="5">
        <v>17</v>
      </c>
      <c r="C79" s="2" t="str">
        <f t="shared" si="1"/>
        <v>17-130</v>
      </c>
      <c r="D79" s="6" t="s">
        <v>69</v>
      </c>
      <c r="E79" s="25" t="s">
        <v>89</v>
      </c>
      <c r="F79" s="27" t="s">
        <v>289</v>
      </c>
      <c r="G79" s="27" t="s">
        <v>290</v>
      </c>
      <c r="H79" s="27" t="s">
        <v>238</v>
      </c>
      <c r="I79" s="28" t="s">
        <v>227</v>
      </c>
      <c r="J79"/>
      <c r="K79"/>
    </row>
    <row r="80" spans="1:11" x14ac:dyDescent="0.25">
      <c r="A80" s="12">
        <v>131</v>
      </c>
      <c r="B80" s="5">
        <v>17</v>
      </c>
      <c r="C80" s="2" t="str">
        <f t="shared" si="1"/>
        <v>17-131</v>
      </c>
      <c r="D80" s="6" t="s">
        <v>69</v>
      </c>
      <c r="E80" s="25" t="s">
        <v>90</v>
      </c>
      <c r="F80" s="27" t="s">
        <v>293</v>
      </c>
      <c r="G80" s="27" t="s">
        <v>293</v>
      </c>
      <c r="H80" s="27" t="s">
        <v>293</v>
      </c>
      <c r="I80" s="28" t="s">
        <v>228</v>
      </c>
      <c r="J80"/>
      <c r="K80"/>
    </row>
    <row r="81" spans="1:11" x14ac:dyDescent="0.25">
      <c r="A81" s="12">
        <v>132</v>
      </c>
      <c r="B81" s="5">
        <v>17</v>
      </c>
      <c r="C81" s="2" t="str">
        <f t="shared" si="1"/>
        <v>17-132</v>
      </c>
      <c r="D81" s="6" t="s">
        <v>69</v>
      </c>
      <c r="E81" s="25" t="s">
        <v>91</v>
      </c>
      <c r="F81" s="27" t="s">
        <v>293</v>
      </c>
      <c r="G81" s="27" t="s">
        <v>293</v>
      </c>
      <c r="H81" s="27" t="s">
        <v>293</v>
      </c>
      <c r="I81" s="28" t="s">
        <v>228</v>
      </c>
      <c r="J81"/>
      <c r="K81"/>
    </row>
    <row r="82" spans="1:11" x14ac:dyDescent="0.25">
      <c r="A82" s="12">
        <v>133</v>
      </c>
      <c r="B82" s="5">
        <v>17</v>
      </c>
      <c r="C82" s="2" t="str">
        <f t="shared" si="1"/>
        <v>17-133</v>
      </c>
      <c r="D82" s="6" t="s">
        <v>69</v>
      </c>
      <c r="E82" s="25" t="s">
        <v>92</v>
      </c>
      <c r="F82" s="27" t="s">
        <v>293</v>
      </c>
      <c r="G82" s="27" t="s">
        <v>293</v>
      </c>
      <c r="H82" s="27" t="s">
        <v>293</v>
      </c>
      <c r="I82" s="28" t="s">
        <v>228</v>
      </c>
      <c r="J82"/>
      <c r="K82"/>
    </row>
    <row r="83" spans="1:11" x14ac:dyDescent="0.25">
      <c r="A83" s="12">
        <v>134</v>
      </c>
      <c r="B83" s="5">
        <v>17</v>
      </c>
      <c r="C83" s="2" t="str">
        <f t="shared" si="1"/>
        <v>17-134</v>
      </c>
      <c r="D83" s="6" t="s">
        <v>69</v>
      </c>
      <c r="E83" s="25" t="s">
        <v>93</v>
      </c>
      <c r="F83" s="27" t="s">
        <v>296</v>
      </c>
      <c r="G83" s="27" t="s">
        <v>296</v>
      </c>
      <c r="H83" s="27" t="s">
        <v>296</v>
      </c>
      <c r="I83" s="28" t="s">
        <v>227</v>
      </c>
      <c r="J83"/>
      <c r="K83"/>
    </row>
    <row r="84" spans="1:11" x14ac:dyDescent="0.25">
      <c r="A84" s="12">
        <v>135</v>
      </c>
      <c r="B84" s="5">
        <v>17</v>
      </c>
      <c r="C84" s="2" t="str">
        <f t="shared" si="1"/>
        <v>17-135</v>
      </c>
      <c r="D84" s="6" t="s">
        <v>69</v>
      </c>
      <c r="E84" s="25" t="s">
        <v>94</v>
      </c>
      <c r="F84" s="27" t="s">
        <v>289</v>
      </c>
      <c r="G84" s="27" t="s">
        <v>290</v>
      </c>
      <c r="H84" s="27" t="s">
        <v>238</v>
      </c>
      <c r="I84" s="28" t="s">
        <v>227</v>
      </c>
      <c r="J84"/>
      <c r="K84"/>
    </row>
    <row r="85" spans="1:11" x14ac:dyDescent="0.25">
      <c r="A85" s="12">
        <v>136</v>
      </c>
      <c r="B85" s="5">
        <v>17</v>
      </c>
      <c r="C85" s="2" t="str">
        <f t="shared" si="1"/>
        <v>17-136</v>
      </c>
      <c r="D85" s="6" t="s">
        <v>69</v>
      </c>
      <c r="E85" s="25" t="s">
        <v>95</v>
      </c>
      <c r="F85" s="27" t="s">
        <v>289</v>
      </c>
      <c r="G85" s="27" t="s">
        <v>290</v>
      </c>
      <c r="H85" s="27" t="s">
        <v>238</v>
      </c>
      <c r="I85" s="28" t="s">
        <v>227</v>
      </c>
      <c r="J85"/>
      <c r="K85"/>
    </row>
    <row r="86" spans="1:11" x14ac:dyDescent="0.25">
      <c r="A86" s="12">
        <v>137</v>
      </c>
      <c r="B86" s="5">
        <v>17</v>
      </c>
      <c r="C86" s="2" t="str">
        <f t="shared" si="1"/>
        <v>17-137</v>
      </c>
      <c r="D86" s="6" t="s">
        <v>69</v>
      </c>
      <c r="E86" s="25" t="s">
        <v>96</v>
      </c>
      <c r="F86" s="27" t="s">
        <v>289</v>
      </c>
      <c r="G86" s="27" t="s">
        <v>290</v>
      </c>
      <c r="H86" s="27" t="s">
        <v>238</v>
      </c>
      <c r="I86" s="28" t="s">
        <v>227</v>
      </c>
      <c r="J86"/>
      <c r="K86"/>
    </row>
    <row r="87" spans="1:11" x14ac:dyDescent="0.25">
      <c r="A87" s="12">
        <v>138</v>
      </c>
      <c r="B87" s="5">
        <v>17</v>
      </c>
      <c r="C87" s="2" t="str">
        <f t="shared" si="1"/>
        <v>17-138</v>
      </c>
      <c r="D87" s="6" t="s">
        <v>69</v>
      </c>
      <c r="E87" s="25" t="s">
        <v>97</v>
      </c>
      <c r="F87" s="27" t="s">
        <v>289</v>
      </c>
      <c r="G87" s="27" t="s">
        <v>290</v>
      </c>
      <c r="H87" s="27" t="s">
        <v>238</v>
      </c>
      <c r="I87" s="28" t="s">
        <v>227</v>
      </c>
      <c r="J87"/>
      <c r="K87"/>
    </row>
    <row r="88" spans="1:11" x14ac:dyDescent="0.25">
      <c r="A88" s="12">
        <v>139</v>
      </c>
      <c r="B88" s="5">
        <v>17</v>
      </c>
      <c r="C88" s="2" t="str">
        <f t="shared" si="1"/>
        <v>17-139</v>
      </c>
      <c r="D88" s="6" t="s">
        <v>69</v>
      </c>
      <c r="E88" s="25" t="s">
        <v>98</v>
      </c>
      <c r="F88" s="27" t="s">
        <v>245</v>
      </c>
      <c r="G88" s="27" t="s">
        <v>245</v>
      </c>
      <c r="H88" s="27" t="s">
        <v>245</v>
      </c>
      <c r="I88" s="28" t="s">
        <v>227</v>
      </c>
      <c r="J88"/>
      <c r="K88"/>
    </row>
    <row r="89" spans="1:11" x14ac:dyDescent="0.25">
      <c r="A89" s="12">
        <v>140</v>
      </c>
      <c r="B89" s="5">
        <v>17</v>
      </c>
      <c r="C89" s="2" t="str">
        <f t="shared" si="1"/>
        <v>17-140</v>
      </c>
      <c r="D89" s="6" t="s">
        <v>69</v>
      </c>
      <c r="E89" s="25" t="s">
        <v>99</v>
      </c>
      <c r="F89" s="27" t="s">
        <v>289</v>
      </c>
      <c r="G89" s="27" t="s">
        <v>290</v>
      </c>
      <c r="H89" s="27" t="s">
        <v>238</v>
      </c>
      <c r="I89" s="28" t="s">
        <v>227</v>
      </c>
      <c r="J89"/>
      <c r="K89"/>
    </row>
    <row r="90" spans="1:11" x14ac:dyDescent="0.25">
      <c r="A90" s="12">
        <v>141</v>
      </c>
      <c r="B90" s="5">
        <v>17</v>
      </c>
      <c r="C90" s="2" t="str">
        <f t="shared" si="1"/>
        <v>17-141</v>
      </c>
      <c r="D90" s="6" t="s">
        <v>69</v>
      </c>
      <c r="E90" s="25" t="s">
        <v>100</v>
      </c>
      <c r="F90" s="27" t="s">
        <v>296</v>
      </c>
      <c r="G90" s="27" t="s">
        <v>296</v>
      </c>
      <c r="H90" s="27" t="s">
        <v>296</v>
      </c>
      <c r="I90" s="28" t="s">
        <v>227</v>
      </c>
      <c r="J90"/>
      <c r="K90"/>
    </row>
    <row r="91" spans="1:11" x14ac:dyDescent="0.25">
      <c r="A91" s="12">
        <v>142</v>
      </c>
      <c r="B91" s="5">
        <v>17</v>
      </c>
      <c r="C91" s="2" t="str">
        <f t="shared" si="1"/>
        <v>17-142</v>
      </c>
      <c r="D91" s="6" t="s">
        <v>69</v>
      </c>
      <c r="E91" s="25" t="s">
        <v>83</v>
      </c>
      <c r="F91" s="27" t="s">
        <v>289</v>
      </c>
      <c r="G91" s="27" t="s">
        <v>290</v>
      </c>
      <c r="H91" s="27" t="s">
        <v>238</v>
      </c>
      <c r="I91" s="28" t="s">
        <v>227</v>
      </c>
      <c r="J91"/>
      <c r="K91"/>
    </row>
    <row r="92" spans="1:11" x14ac:dyDescent="0.25">
      <c r="A92" s="12">
        <v>143</v>
      </c>
      <c r="B92" s="5">
        <v>17</v>
      </c>
      <c r="C92" s="2" t="str">
        <f t="shared" si="1"/>
        <v>17-143</v>
      </c>
      <c r="D92" s="6" t="s">
        <v>69</v>
      </c>
      <c r="E92" s="25" t="s">
        <v>101</v>
      </c>
      <c r="F92" s="27" t="s">
        <v>296</v>
      </c>
      <c r="G92" s="27" t="s">
        <v>296</v>
      </c>
      <c r="H92" s="27" t="s">
        <v>296</v>
      </c>
      <c r="I92" s="28" t="s">
        <v>227</v>
      </c>
      <c r="J92"/>
      <c r="K92"/>
    </row>
    <row r="93" spans="1:11" x14ac:dyDescent="0.25">
      <c r="A93" s="12">
        <v>144</v>
      </c>
      <c r="B93" s="5">
        <v>17</v>
      </c>
      <c r="C93" s="2" t="str">
        <f t="shared" si="1"/>
        <v>17-144</v>
      </c>
      <c r="D93" s="6" t="s">
        <v>69</v>
      </c>
      <c r="E93" s="25" t="s">
        <v>102</v>
      </c>
      <c r="F93" s="27" t="s">
        <v>289</v>
      </c>
      <c r="G93" s="27" t="s">
        <v>290</v>
      </c>
      <c r="H93" s="27" t="s">
        <v>238</v>
      </c>
      <c r="I93" s="28" t="s">
        <v>227</v>
      </c>
      <c r="J93"/>
      <c r="K93"/>
    </row>
    <row r="94" spans="1:11" x14ac:dyDescent="0.25">
      <c r="A94" s="12">
        <v>145</v>
      </c>
      <c r="B94" s="5">
        <v>17</v>
      </c>
      <c r="C94" s="2" t="str">
        <f t="shared" si="1"/>
        <v>17-145</v>
      </c>
      <c r="D94" s="6" t="s">
        <v>69</v>
      </c>
      <c r="E94" s="25" t="s">
        <v>103</v>
      </c>
      <c r="F94" s="27" t="s">
        <v>274</v>
      </c>
      <c r="G94" s="27" t="s">
        <v>274</v>
      </c>
      <c r="H94" s="27" t="s">
        <v>274</v>
      </c>
      <c r="I94" s="28" t="s">
        <v>227</v>
      </c>
      <c r="J94"/>
      <c r="K94"/>
    </row>
    <row r="95" spans="1:11" x14ac:dyDescent="0.25">
      <c r="A95" s="12">
        <v>146</v>
      </c>
      <c r="B95" s="5">
        <v>17</v>
      </c>
      <c r="C95" s="2" t="str">
        <f t="shared" si="1"/>
        <v>17-146</v>
      </c>
      <c r="D95" s="6" t="s">
        <v>69</v>
      </c>
      <c r="E95" s="25" t="s">
        <v>104</v>
      </c>
      <c r="F95" s="27" t="s">
        <v>289</v>
      </c>
      <c r="G95" s="27" t="s">
        <v>290</v>
      </c>
      <c r="H95" s="27" t="s">
        <v>238</v>
      </c>
      <c r="I95" s="28" t="s">
        <v>227</v>
      </c>
      <c r="J95"/>
      <c r="K95"/>
    </row>
    <row r="96" spans="1:11" x14ac:dyDescent="0.25">
      <c r="A96" s="12">
        <v>147</v>
      </c>
      <c r="B96" s="5">
        <v>17</v>
      </c>
      <c r="C96" s="2" t="str">
        <f t="shared" si="1"/>
        <v>17-147</v>
      </c>
      <c r="D96" s="6" t="s">
        <v>69</v>
      </c>
      <c r="E96" s="25" t="s">
        <v>105</v>
      </c>
      <c r="F96" s="27" t="s">
        <v>289</v>
      </c>
      <c r="G96" s="27" t="s">
        <v>290</v>
      </c>
      <c r="H96" s="27" t="s">
        <v>238</v>
      </c>
      <c r="I96" s="28" t="s">
        <v>227</v>
      </c>
      <c r="J96"/>
      <c r="K96"/>
    </row>
    <row r="97" spans="1:11" x14ac:dyDescent="0.25">
      <c r="A97" s="12">
        <v>148</v>
      </c>
      <c r="B97" s="5">
        <v>17</v>
      </c>
      <c r="C97" s="2" t="str">
        <f t="shared" si="1"/>
        <v>17-148</v>
      </c>
      <c r="D97" s="6" t="s">
        <v>69</v>
      </c>
      <c r="E97" s="25" t="s">
        <v>106</v>
      </c>
      <c r="F97" s="27" t="s">
        <v>297</v>
      </c>
      <c r="G97" s="27" t="s">
        <v>297</v>
      </c>
      <c r="H97" s="27" t="s">
        <v>297</v>
      </c>
      <c r="I97" s="28" t="s">
        <v>227</v>
      </c>
      <c r="J97"/>
      <c r="K97"/>
    </row>
    <row r="98" spans="1:11" x14ac:dyDescent="0.25">
      <c r="A98" s="12">
        <v>149</v>
      </c>
      <c r="B98" s="5">
        <v>17</v>
      </c>
      <c r="C98" s="2" t="str">
        <f t="shared" si="1"/>
        <v>17-149</v>
      </c>
      <c r="D98" s="6" t="s">
        <v>69</v>
      </c>
      <c r="E98" s="25" t="s">
        <v>107</v>
      </c>
      <c r="F98" s="27" t="s">
        <v>289</v>
      </c>
      <c r="G98" s="27" t="s">
        <v>290</v>
      </c>
      <c r="H98" s="27" t="s">
        <v>238</v>
      </c>
      <c r="I98" s="28" t="s">
        <v>227</v>
      </c>
      <c r="J98"/>
      <c r="K98"/>
    </row>
    <row r="99" spans="1:11" x14ac:dyDescent="0.25">
      <c r="A99" s="12">
        <v>150</v>
      </c>
      <c r="B99" s="5">
        <v>17</v>
      </c>
      <c r="C99" s="2" t="str">
        <f t="shared" si="1"/>
        <v>17-150</v>
      </c>
      <c r="D99" s="6" t="s">
        <v>69</v>
      </c>
      <c r="E99" s="25" t="s">
        <v>108</v>
      </c>
      <c r="F99" s="27" t="s">
        <v>276</v>
      </c>
      <c r="G99" s="27" t="s">
        <v>276</v>
      </c>
      <c r="H99" s="27" t="s">
        <v>276</v>
      </c>
      <c r="I99" s="28" t="s">
        <v>227</v>
      </c>
      <c r="J99"/>
      <c r="K99"/>
    </row>
    <row r="100" spans="1:11" x14ac:dyDescent="0.25">
      <c r="A100" s="12">
        <v>151</v>
      </c>
      <c r="B100" s="5">
        <v>17</v>
      </c>
      <c r="C100" s="2" t="str">
        <f t="shared" si="1"/>
        <v>17-151</v>
      </c>
      <c r="D100" s="6" t="s">
        <v>69</v>
      </c>
      <c r="E100" s="25" t="s">
        <v>109</v>
      </c>
      <c r="F100" s="27" t="s">
        <v>289</v>
      </c>
      <c r="G100" s="27" t="s">
        <v>290</v>
      </c>
      <c r="H100" s="27" t="s">
        <v>238</v>
      </c>
      <c r="I100" s="28" t="s">
        <v>227</v>
      </c>
      <c r="J100"/>
      <c r="K100"/>
    </row>
    <row r="101" spans="1:11" x14ac:dyDescent="0.25">
      <c r="A101" s="12">
        <v>111</v>
      </c>
      <c r="B101" s="5">
        <v>18</v>
      </c>
      <c r="C101" s="2" t="str">
        <f t="shared" si="1"/>
        <v>18-111</v>
      </c>
      <c r="D101" s="6" t="s">
        <v>110</v>
      </c>
      <c r="E101" s="25" t="s">
        <v>111</v>
      </c>
      <c r="F101" s="27" t="s">
        <v>274</v>
      </c>
      <c r="G101" s="27" t="s">
        <v>277</v>
      </c>
      <c r="H101" s="27" t="s">
        <v>238</v>
      </c>
      <c r="I101" s="28" t="s">
        <v>227</v>
      </c>
      <c r="J101"/>
      <c r="K101"/>
    </row>
    <row r="102" spans="1:11" x14ac:dyDescent="0.25">
      <c r="A102" s="12">
        <v>112</v>
      </c>
      <c r="B102" s="5">
        <v>18</v>
      </c>
      <c r="C102" s="2" t="str">
        <f t="shared" si="1"/>
        <v>18-112</v>
      </c>
      <c r="D102" s="6" t="s">
        <v>110</v>
      </c>
      <c r="E102" s="25" t="s">
        <v>112</v>
      </c>
      <c r="F102" s="34">
        <v>690000</v>
      </c>
      <c r="G102" s="34">
        <v>690000</v>
      </c>
      <c r="H102" s="27" t="s">
        <v>238</v>
      </c>
      <c r="I102" s="28" t="s">
        <v>352</v>
      </c>
      <c r="J102"/>
      <c r="K102"/>
    </row>
    <row r="103" spans="1:11" x14ac:dyDescent="0.25">
      <c r="A103" s="12">
        <v>113</v>
      </c>
      <c r="B103" s="5">
        <v>18</v>
      </c>
      <c r="C103" s="2" t="str">
        <f t="shared" si="1"/>
        <v>18-113</v>
      </c>
      <c r="D103" s="6" t="s">
        <v>110</v>
      </c>
      <c r="E103" s="25" t="s">
        <v>113</v>
      </c>
      <c r="F103" s="34">
        <v>360000</v>
      </c>
      <c r="G103" s="34">
        <v>1200000</v>
      </c>
      <c r="H103" s="27" t="s">
        <v>238</v>
      </c>
      <c r="I103" s="28" t="s">
        <v>227</v>
      </c>
      <c r="J103"/>
      <c r="K103"/>
    </row>
    <row r="104" spans="1:11" x14ac:dyDescent="0.25">
      <c r="A104" s="12">
        <v>114</v>
      </c>
      <c r="B104" s="5">
        <v>18</v>
      </c>
      <c r="C104" s="2" t="str">
        <f t="shared" si="1"/>
        <v>18-114</v>
      </c>
      <c r="D104" s="6" t="s">
        <v>110</v>
      </c>
      <c r="E104" s="25" t="s">
        <v>114</v>
      </c>
      <c r="F104" s="27" t="s">
        <v>298</v>
      </c>
      <c r="G104" s="27" t="s">
        <v>299</v>
      </c>
      <c r="H104" s="27" t="s">
        <v>238</v>
      </c>
      <c r="I104" s="28" t="s">
        <v>227</v>
      </c>
      <c r="J104"/>
      <c r="K104"/>
    </row>
    <row r="105" spans="1:11" x14ac:dyDescent="0.25">
      <c r="A105" s="12">
        <v>115</v>
      </c>
      <c r="B105" s="5">
        <v>18</v>
      </c>
      <c r="C105" s="2" t="str">
        <f t="shared" si="1"/>
        <v>18-115</v>
      </c>
      <c r="D105" s="6" t="s">
        <v>110</v>
      </c>
      <c r="E105" s="25" t="s">
        <v>115</v>
      </c>
      <c r="F105" s="27" t="s">
        <v>274</v>
      </c>
      <c r="G105" s="27" t="s">
        <v>274</v>
      </c>
      <c r="H105" s="27" t="s">
        <v>274</v>
      </c>
      <c r="I105" s="28" t="s">
        <v>227</v>
      </c>
      <c r="J105"/>
      <c r="K105"/>
    </row>
    <row r="106" spans="1:11" x14ac:dyDescent="0.25">
      <c r="A106" s="12">
        <v>116</v>
      </c>
      <c r="B106" s="5">
        <v>18</v>
      </c>
      <c r="C106" s="2" t="str">
        <f t="shared" si="1"/>
        <v>18-116</v>
      </c>
      <c r="D106" s="6" t="s">
        <v>110</v>
      </c>
      <c r="E106" s="25" t="s">
        <v>116</v>
      </c>
      <c r="F106" s="27" t="s">
        <v>296</v>
      </c>
      <c r="G106" s="27" t="s">
        <v>296</v>
      </c>
      <c r="H106" s="27" t="s">
        <v>296</v>
      </c>
      <c r="I106" s="28" t="s">
        <v>227</v>
      </c>
      <c r="J106"/>
      <c r="K106"/>
    </row>
    <row r="107" spans="1:11" x14ac:dyDescent="0.25">
      <c r="A107" s="12">
        <v>117</v>
      </c>
      <c r="B107" s="5">
        <v>18</v>
      </c>
      <c r="C107" s="2" t="str">
        <f t="shared" si="1"/>
        <v>18-117</v>
      </c>
      <c r="D107" s="6" t="s">
        <v>110</v>
      </c>
      <c r="E107" s="25" t="s">
        <v>117</v>
      </c>
      <c r="F107" s="27" t="s">
        <v>300</v>
      </c>
      <c r="G107" s="27" t="s">
        <v>301</v>
      </c>
      <c r="H107" s="27" t="s">
        <v>238</v>
      </c>
      <c r="I107" s="28" t="s">
        <v>227</v>
      </c>
      <c r="J107"/>
      <c r="K107"/>
    </row>
    <row r="108" spans="1:11" x14ac:dyDescent="0.25">
      <c r="A108" s="12">
        <v>118</v>
      </c>
      <c r="B108" s="5">
        <v>18</v>
      </c>
      <c r="C108" s="2" t="str">
        <f t="shared" si="1"/>
        <v>18-118</v>
      </c>
      <c r="D108" s="6" t="s">
        <v>110</v>
      </c>
      <c r="E108" s="25" t="s">
        <v>118</v>
      </c>
      <c r="F108" s="27" t="s">
        <v>300</v>
      </c>
      <c r="G108" s="27" t="s">
        <v>301</v>
      </c>
      <c r="H108" s="27" t="s">
        <v>238</v>
      </c>
      <c r="I108" s="28" t="s">
        <v>227</v>
      </c>
      <c r="J108"/>
      <c r="K108"/>
    </row>
    <row r="109" spans="1:11" x14ac:dyDescent="0.25">
      <c r="A109" s="12">
        <v>119</v>
      </c>
      <c r="B109" s="5">
        <v>18</v>
      </c>
      <c r="C109" s="2" t="str">
        <f t="shared" si="1"/>
        <v>18-119</v>
      </c>
      <c r="D109" s="6" t="s">
        <v>110</v>
      </c>
      <c r="E109" s="25" t="s">
        <v>119</v>
      </c>
      <c r="F109" s="27" t="s">
        <v>302</v>
      </c>
      <c r="G109" s="27" t="s">
        <v>302</v>
      </c>
      <c r="H109" s="27" t="s">
        <v>302</v>
      </c>
      <c r="I109" s="28" t="s">
        <v>227</v>
      </c>
      <c r="J109"/>
      <c r="K109"/>
    </row>
    <row r="110" spans="1:11" x14ac:dyDescent="0.25">
      <c r="A110" s="12">
        <v>120</v>
      </c>
      <c r="B110" s="5">
        <v>18</v>
      </c>
      <c r="C110" s="2" t="str">
        <f t="shared" si="1"/>
        <v>18-120</v>
      </c>
      <c r="D110" s="6" t="s">
        <v>110</v>
      </c>
      <c r="E110" s="25" t="s">
        <v>120</v>
      </c>
      <c r="F110" s="27" t="s">
        <v>285</v>
      </c>
      <c r="G110" s="27" t="s">
        <v>254</v>
      </c>
      <c r="H110" s="27" t="s">
        <v>238</v>
      </c>
      <c r="I110" s="28" t="s">
        <v>227</v>
      </c>
      <c r="J110"/>
      <c r="K110"/>
    </row>
    <row r="111" spans="1:11" x14ac:dyDescent="0.25">
      <c r="A111" s="12">
        <v>121</v>
      </c>
      <c r="B111" s="5">
        <v>18</v>
      </c>
      <c r="C111" s="2" t="str">
        <f t="shared" si="1"/>
        <v>18-121</v>
      </c>
      <c r="D111" s="6" t="s">
        <v>110</v>
      </c>
      <c r="E111" s="25" t="s">
        <v>121</v>
      </c>
      <c r="F111" s="27" t="s">
        <v>289</v>
      </c>
      <c r="G111" s="27" t="s">
        <v>290</v>
      </c>
      <c r="H111" s="27" t="s">
        <v>238</v>
      </c>
      <c r="I111" s="28" t="s">
        <v>227</v>
      </c>
      <c r="J111"/>
      <c r="K111"/>
    </row>
    <row r="112" spans="1:11" x14ac:dyDescent="0.25">
      <c r="A112" s="12">
        <v>122</v>
      </c>
      <c r="B112" s="5">
        <v>18</v>
      </c>
      <c r="C112" s="2" t="str">
        <f t="shared" si="1"/>
        <v>18-122</v>
      </c>
      <c r="D112" s="6" t="s">
        <v>110</v>
      </c>
      <c r="E112" s="25" t="s">
        <v>122</v>
      </c>
      <c r="F112" s="34">
        <v>1760000</v>
      </c>
      <c r="G112" s="34">
        <v>1760000</v>
      </c>
      <c r="H112" s="27" t="s">
        <v>238</v>
      </c>
      <c r="I112" s="28" t="s">
        <v>227</v>
      </c>
      <c r="J112"/>
      <c r="K112"/>
    </row>
    <row r="113" spans="1:11" x14ac:dyDescent="0.25">
      <c r="A113" s="12">
        <v>111</v>
      </c>
      <c r="B113" s="5">
        <v>19</v>
      </c>
      <c r="C113" s="2" t="str">
        <f t="shared" si="1"/>
        <v>19-111</v>
      </c>
      <c r="D113" s="6" t="s">
        <v>123</v>
      </c>
      <c r="E113" s="25" t="s">
        <v>124</v>
      </c>
      <c r="F113" s="27" t="s">
        <v>303</v>
      </c>
      <c r="G113" s="27" t="s">
        <v>303</v>
      </c>
      <c r="H113" s="27" t="s">
        <v>303</v>
      </c>
      <c r="I113" s="28" t="s">
        <v>229</v>
      </c>
      <c r="J113"/>
      <c r="K113"/>
    </row>
    <row r="114" spans="1:11" x14ac:dyDescent="0.25">
      <c r="A114" s="12">
        <v>112</v>
      </c>
      <c r="B114" s="5">
        <v>19</v>
      </c>
      <c r="C114" s="2" t="str">
        <f t="shared" si="1"/>
        <v>19-112</v>
      </c>
      <c r="D114" s="6" t="s">
        <v>123</v>
      </c>
      <c r="E114" s="25" t="s">
        <v>125</v>
      </c>
      <c r="F114" s="27" t="s">
        <v>273</v>
      </c>
      <c r="G114" s="27" t="s">
        <v>273</v>
      </c>
      <c r="H114" s="27" t="s">
        <v>273</v>
      </c>
      <c r="I114" s="28" t="s">
        <v>227</v>
      </c>
      <c r="J114"/>
      <c r="K114"/>
    </row>
    <row r="115" spans="1:11" x14ac:dyDescent="0.25">
      <c r="A115" s="12">
        <v>113</v>
      </c>
      <c r="B115" s="5">
        <v>19</v>
      </c>
      <c r="C115" s="2" t="str">
        <f t="shared" si="1"/>
        <v>19-113</v>
      </c>
      <c r="D115" s="6" t="s">
        <v>123</v>
      </c>
      <c r="E115" s="25" t="s">
        <v>126</v>
      </c>
      <c r="F115" s="34">
        <v>3720000</v>
      </c>
      <c r="G115" s="34">
        <v>3720000</v>
      </c>
      <c r="H115" s="27" t="s">
        <v>238</v>
      </c>
      <c r="I115" s="28" t="s">
        <v>223</v>
      </c>
      <c r="J115"/>
      <c r="K115"/>
    </row>
    <row r="116" spans="1:11" x14ac:dyDescent="0.25">
      <c r="A116" s="12">
        <v>114</v>
      </c>
      <c r="B116" s="5">
        <v>19</v>
      </c>
      <c r="C116" s="2" t="str">
        <f t="shared" si="1"/>
        <v>19-114</v>
      </c>
      <c r="D116" s="6" t="s">
        <v>123</v>
      </c>
      <c r="E116" s="25" t="s">
        <v>127</v>
      </c>
      <c r="F116" s="27" t="s">
        <v>304</v>
      </c>
      <c r="G116" s="27" t="s">
        <v>305</v>
      </c>
      <c r="H116" s="27" t="s">
        <v>238</v>
      </c>
      <c r="I116" s="28" t="s">
        <v>227</v>
      </c>
      <c r="J116"/>
      <c r="K116"/>
    </row>
    <row r="117" spans="1:11" x14ac:dyDescent="0.25">
      <c r="A117" s="12">
        <v>115</v>
      </c>
      <c r="B117" s="5">
        <v>19</v>
      </c>
      <c r="C117" s="2" t="str">
        <f t="shared" si="1"/>
        <v>19-115</v>
      </c>
      <c r="D117" s="6" t="s">
        <v>123</v>
      </c>
      <c r="E117" s="25" t="s">
        <v>128</v>
      </c>
      <c r="F117" s="27" t="s">
        <v>245</v>
      </c>
      <c r="G117" s="27" t="s">
        <v>306</v>
      </c>
      <c r="H117" s="27" t="s">
        <v>238</v>
      </c>
      <c r="I117" s="28" t="s">
        <v>227</v>
      </c>
      <c r="J117"/>
      <c r="K117"/>
    </row>
    <row r="118" spans="1:11" x14ac:dyDescent="0.25">
      <c r="A118" s="12">
        <v>116</v>
      </c>
      <c r="B118" s="5">
        <v>19</v>
      </c>
      <c r="C118" s="2" t="str">
        <f t="shared" si="1"/>
        <v>19-116</v>
      </c>
      <c r="D118" s="6" t="s">
        <v>123</v>
      </c>
      <c r="E118" s="25" t="s">
        <v>129</v>
      </c>
      <c r="F118" s="27" t="s">
        <v>307</v>
      </c>
      <c r="G118" s="27" t="s">
        <v>308</v>
      </c>
      <c r="H118" s="27" t="s">
        <v>238</v>
      </c>
      <c r="I118" s="28" t="s">
        <v>227</v>
      </c>
      <c r="J118"/>
      <c r="K118"/>
    </row>
    <row r="119" spans="1:11" x14ac:dyDescent="0.25">
      <c r="A119" s="12">
        <v>117</v>
      </c>
      <c r="B119" s="5">
        <v>19</v>
      </c>
      <c r="C119" s="2" t="str">
        <f t="shared" si="1"/>
        <v>19-117</v>
      </c>
      <c r="D119" s="6" t="s">
        <v>123</v>
      </c>
      <c r="E119" s="25" t="s">
        <v>130</v>
      </c>
      <c r="F119" s="27" t="s">
        <v>245</v>
      </c>
      <c r="G119" s="27" t="s">
        <v>306</v>
      </c>
      <c r="H119" s="27" t="s">
        <v>238</v>
      </c>
      <c r="I119" s="28" t="s">
        <v>227</v>
      </c>
      <c r="J119"/>
      <c r="K119"/>
    </row>
    <row r="120" spans="1:11" x14ac:dyDescent="0.25">
      <c r="A120" s="12">
        <v>118</v>
      </c>
      <c r="B120" s="5">
        <v>19</v>
      </c>
      <c r="C120" s="2" t="str">
        <f t="shared" si="1"/>
        <v>19-118</v>
      </c>
      <c r="D120" s="6" t="s">
        <v>123</v>
      </c>
      <c r="E120" s="25" t="s">
        <v>131</v>
      </c>
      <c r="F120" s="34">
        <v>3790000</v>
      </c>
      <c r="G120" s="34">
        <v>3790000</v>
      </c>
      <c r="H120" s="27" t="s">
        <v>238</v>
      </c>
      <c r="I120" s="28" t="s">
        <v>353</v>
      </c>
      <c r="J120"/>
      <c r="K120"/>
    </row>
    <row r="121" spans="1:11" x14ac:dyDescent="0.25">
      <c r="A121" s="12">
        <v>119</v>
      </c>
      <c r="B121" s="5">
        <v>19</v>
      </c>
      <c r="C121" s="2" t="str">
        <f t="shared" si="1"/>
        <v>19-119</v>
      </c>
      <c r="D121" s="6" t="s">
        <v>123</v>
      </c>
      <c r="E121" s="25" t="s">
        <v>132</v>
      </c>
      <c r="F121" s="34">
        <v>5130000</v>
      </c>
      <c r="G121" s="34">
        <v>5130000</v>
      </c>
      <c r="H121" s="27" t="s">
        <v>238</v>
      </c>
      <c r="I121" s="28" t="s">
        <v>227</v>
      </c>
      <c r="J121"/>
      <c r="K121"/>
    </row>
    <row r="122" spans="1:11" x14ac:dyDescent="0.25">
      <c r="A122" s="12">
        <v>120</v>
      </c>
      <c r="B122" s="5">
        <v>19</v>
      </c>
      <c r="C122" s="2" t="str">
        <f t="shared" si="1"/>
        <v>19-120</v>
      </c>
      <c r="D122" s="6" t="s">
        <v>123</v>
      </c>
      <c r="E122" s="25" t="s">
        <v>133</v>
      </c>
      <c r="F122" s="27" t="s">
        <v>309</v>
      </c>
      <c r="G122" s="27" t="s">
        <v>309</v>
      </c>
      <c r="H122" s="27" t="s">
        <v>309</v>
      </c>
      <c r="I122" s="28" t="s">
        <v>227</v>
      </c>
      <c r="J122"/>
      <c r="K122"/>
    </row>
    <row r="123" spans="1:11" x14ac:dyDescent="0.25">
      <c r="A123" s="12">
        <v>121</v>
      </c>
      <c r="B123" s="5">
        <v>19</v>
      </c>
      <c r="C123" s="2" t="str">
        <f t="shared" si="1"/>
        <v>19-121</v>
      </c>
      <c r="D123" s="6" t="s">
        <v>123</v>
      </c>
      <c r="E123" s="25" t="s">
        <v>134</v>
      </c>
      <c r="F123" s="27" t="s">
        <v>276</v>
      </c>
      <c r="G123" s="27" t="s">
        <v>310</v>
      </c>
      <c r="H123" s="27" t="s">
        <v>238</v>
      </c>
      <c r="I123" s="28" t="s">
        <v>227</v>
      </c>
      <c r="J123"/>
      <c r="K123"/>
    </row>
    <row r="124" spans="1:11" x14ac:dyDescent="0.25">
      <c r="A124" s="12">
        <v>122</v>
      </c>
      <c r="B124" s="5">
        <v>19</v>
      </c>
      <c r="C124" s="2" t="str">
        <f t="shared" si="1"/>
        <v>19-122</v>
      </c>
      <c r="D124" s="6" t="s">
        <v>123</v>
      </c>
      <c r="E124" s="25" t="s">
        <v>135</v>
      </c>
      <c r="F124" s="34">
        <v>2890000</v>
      </c>
      <c r="G124" s="34">
        <v>2890000</v>
      </c>
      <c r="H124" s="34" t="s">
        <v>238</v>
      </c>
      <c r="I124" s="28" t="s">
        <v>227</v>
      </c>
      <c r="J124"/>
      <c r="K124"/>
    </row>
    <row r="125" spans="1:11" x14ac:dyDescent="0.25">
      <c r="A125" s="12">
        <v>123</v>
      </c>
      <c r="B125" s="5">
        <v>19</v>
      </c>
      <c r="C125" s="2" t="str">
        <f t="shared" si="1"/>
        <v>19-123</v>
      </c>
      <c r="D125" s="6" t="s">
        <v>123</v>
      </c>
      <c r="E125" s="25" t="s">
        <v>136</v>
      </c>
      <c r="F125" s="27" t="s">
        <v>237</v>
      </c>
      <c r="G125" s="27" t="s">
        <v>296</v>
      </c>
      <c r="H125" s="27" t="s">
        <v>238</v>
      </c>
      <c r="I125" s="28" t="s">
        <v>227</v>
      </c>
      <c r="J125"/>
      <c r="K125"/>
    </row>
    <row r="126" spans="1:11" x14ac:dyDescent="0.25">
      <c r="A126" s="12">
        <v>124</v>
      </c>
      <c r="B126" s="5">
        <v>19</v>
      </c>
      <c r="C126" s="2" t="str">
        <f t="shared" si="1"/>
        <v>19-124</v>
      </c>
      <c r="D126" s="6" t="s">
        <v>123</v>
      </c>
      <c r="E126" s="25" t="s">
        <v>137</v>
      </c>
      <c r="F126" s="27" t="s">
        <v>311</v>
      </c>
      <c r="G126" s="27" t="s">
        <v>299</v>
      </c>
      <c r="H126" s="27" t="s">
        <v>238</v>
      </c>
      <c r="I126" s="28" t="s">
        <v>227</v>
      </c>
      <c r="J126"/>
      <c r="K126"/>
    </row>
    <row r="127" spans="1:11" x14ac:dyDescent="0.25">
      <c r="A127" s="12">
        <v>125</v>
      </c>
      <c r="B127" s="5">
        <v>19</v>
      </c>
      <c r="C127" s="2" t="str">
        <f t="shared" si="1"/>
        <v>19-125</v>
      </c>
      <c r="D127" s="6" t="s">
        <v>123</v>
      </c>
      <c r="E127" s="25" t="s">
        <v>138</v>
      </c>
      <c r="F127" s="27" t="s">
        <v>304</v>
      </c>
      <c r="G127" s="27" t="s">
        <v>305</v>
      </c>
      <c r="H127" s="27" t="s">
        <v>238</v>
      </c>
      <c r="I127" s="28" t="s">
        <v>227</v>
      </c>
      <c r="J127"/>
      <c r="K127"/>
    </row>
    <row r="128" spans="1:11" x14ac:dyDescent="0.25">
      <c r="A128" s="12">
        <v>126</v>
      </c>
      <c r="B128" s="5">
        <v>19</v>
      </c>
      <c r="C128" s="2" t="str">
        <f t="shared" si="1"/>
        <v>19-126</v>
      </c>
      <c r="D128" s="6" t="s">
        <v>123</v>
      </c>
      <c r="E128" s="25" t="s">
        <v>139</v>
      </c>
      <c r="F128" s="27" t="s">
        <v>312</v>
      </c>
      <c r="G128" s="27" t="s">
        <v>312</v>
      </c>
      <c r="H128" s="27" t="s">
        <v>238</v>
      </c>
      <c r="I128" s="28" t="s">
        <v>227</v>
      </c>
      <c r="J128"/>
      <c r="K128"/>
    </row>
    <row r="129" spans="1:11" x14ac:dyDescent="0.25">
      <c r="A129" s="12">
        <v>127</v>
      </c>
      <c r="B129" s="5">
        <v>19</v>
      </c>
      <c r="C129" s="2" t="str">
        <f t="shared" si="1"/>
        <v>19-127</v>
      </c>
      <c r="D129" s="6" t="s">
        <v>123</v>
      </c>
      <c r="E129" s="25" t="s">
        <v>140</v>
      </c>
      <c r="F129" s="34">
        <v>990000</v>
      </c>
      <c r="G129" s="34">
        <v>2850000</v>
      </c>
      <c r="H129" s="27" t="s">
        <v>238</v>
      </c>
      <c r="I129" s="28" t="s">
        <v>227</v>
      </c>
      <c r="J129"/>
      <c r="K129"/>
    </row>
    <row r="130" spans="1:11" x14ac:dyDescent="0.25">
      <c r="A130" s="12">
        <v>128</v>
      </c>
      <c r="B130" s="5">
        <v>19</v>
      </c>
      <c r="C130" s="2" t="str">
        <f t="shared" ref="C130:C193" si="2">CONCATENATE(B130, "-", A130)</f>
        <v>19-128</v>
      </c>
      <c r="D130" s="6" t="s">
        <v>123</v>
      </c>
      <c r="E130" s="25" t="s">
        <v>141</v>
      </c>
      <c r="F130" s="27" t="s">
        <v>276</v>
      </c>
      <c r="G130" s="27" t="s">
        <v>263</v>
      </c>
      <c r="H130" s="27" t="s">
        <v>238</v>
      </c>
      <c r="I130" s="28" t="s">
        <v>227</v>
      </c>
      <c r="J130"/>
      <c r="K130"/>
    </row>
    <row r="131" spans="1:11" x14ac:dyDescent="0.25">
      <c r="A131" s="12">
        <v>129</v>
      </c>
      <c r="B131" s="5">
        <v>19</v>
      </c>
      <c r="C131" s="2" t="str">
        <f t="shared" si="2"/>
        <v>19-129</v>
      </c>
      <c r="D131" s="6" t="s">
        <v>123</v>
      </c>
      <c r="E131" s="25" t="s">
        <v>142</v>
      </c>
      <c r="F131" s="27" t="s">
        <v>313</v>
      </c>
      <c r="G131" s="27" t="s">
        <v>313</v>
      </c>
      <c r="H131" s="27" t="s">
        <v>313</v>
      </c>
      <c r="I131" s="28" t="s">
        <v>227</v>
      </c>
      <c r="J131"/>
      <c r="K131"/>
    </row>
    <row r="132" spans="1:11" x14ac:dyDescent="0.25">
      <c r="A132" s="12">
        <v>130</v>
      </c>
      <c r="B132" s="5">
        <v>19</v>
      </c>
      <c r="C132" s="2" t="str">
        <f t="shared" si="2"/>
        <v>19-130</v>
      </c>
      <c r="D132" s="6" t="s">
        <v>123</v>
      </c>
      <c r="E132" s="25" t="s">
        <v>143</v>
      </c>
      <c r="F132" s="34">
        <v>2250000</v>
      </c>
      <c r="G132" s="34">
        <v>5700000</v>
      </c>
      <c r="H132" s="34" t="s">
        <v>238</v>
      </c>
      <c r="I132" s="28" t="s">
        <v>227</v>
      </c>
      <c r="J132"/>
      <c r="K132"/>
    </row>
    <row r="133" spans="1:11" x14ac:dyDescent="0.25">
      <c r="A133" s="12">
        <v>131</v>
      </c>
      <c r="B133" s="5">
        <v>19</v>
      </c>
      <c r="C133" s="2" t="str">
        <f t="shared" si="2"/>
        <v>19-131</v>
      </c>
      <c r="D133" s="6" t="s">
        <v>123</v>
      </c>
      <c r="E133" s="25" t="s">
        <v>144</v>
      </c>
      <c r="F133" s="27" t="s">
        <v>314</v>
      </c>
      <c r="G133" s="27" t="s">
        <v>303</v>
      </c>
      <c r="H133" s="27" t="s">
        <v>238</v>
      </c>
      <c r="I133" s="28" t="s">
        <v>227</v>
      </c>
      <c r="J133"/>
      <c r="K133"/>
    </row>
    <row r="134" spans="1:11" x14ac:dyDescent="0.25">
      <c r="A134" s="12">
        <v>132</v>
      </c>
      <c r="B134" s="5">
        <v>19</v>
      </c>
      <c r="C134" s="2" t="str">
        <f t="shared" si="2"/>
        <v>19-132</v>
      </c>
      <c r="D134" s="6" t="s">
        <v>123</v>
      </c>
      <c r="E134" s="25" t="s">
        <v>145</v>
      </c>
      <c r="F134" s="34">
        <v>1950000</v>
      </c>
      <c r="G134" s="34">
        <v>4500000</v>
      </c>
      <c r="H134" s="27" t="s">
        <v>238</v>
      </c>
      <c r="I134" s="28" t="s">
        <v>227</v>
      </c>
      <c r="J134"/>
      <c r="K134"/>
    </row>
    <row r="135" spans="1:11" x14ac:dyDescent="0.25">
      <c r="A135" s="12">
        <v>133</v>
      </c>
      <c r="B135" s="5">
        <v>19</v>
      </c>
      <c r="C135" s="2" t="str">
        <f t="shared" si="2"/>
        <v>19-133</v>
      </c>
      <c r="D135" s="6" t="s">
        <v>123</v>
      </c>
      <c r="E135" s="25" t="s">
        <v>146</v>
      </c>
      <c r="F135" s="27" t="s">
        <v>314</v>
      </c>
      <c r="G135" s="27" t="s">
        <v>303</v>
      </c>
      <c r="H135" s="27" t="s">
        <v>238</v>
      </c>
      <c r="I135" s="28" t="s">
        <v>227</v>
      </c>
      <c r="J135"/>
      <c r="K135"/>
    </row>
    <row r="136" spans="1:11" x14ac:dyDescent="0.25">
      <c r="A136" s="12">
        <v>134</v>
      </c>
      <c r="B136" s="5">
        <v>19</v>
      </c>
      <c r="C136" s="2" t="str">
        <f t="shared" si="2"/>
        <v>19-134</v>
      </c>
      <c r="D136" s="6" t="s">
        <v>123</v>
      </c>
      <c r="E136" s="25" t="s">
        <v>147</v>
      </c>
      <c r="F136" s="27" t="s">
        <v>315</v>
      </c>
      <c r="G136" s="27" t="s">
        <v>316</v>
      </c>
      <c r="H136" s="27" t="s">
        <v>238</v>
      </c>
      <c r="I136" s="28" t="s">
        <v>227</v>
      </c>
      <c r="J136"/>
      <c r="K136"/>
    </row>
    <row r="137" spans="1:11" x14ac:dyDescent="0.25">
      <c r="A137" s="12">
        <v>135</v>
      </c>
      <c r="B137" s="5">
        <v>19</v>
      </c>
      <c r="C137" s="2" t="str">
        <f t="shared" si="2"/>
        <v>19-135</v>
      </c>
      <c r="D137" s="6" t="s">
        <v>123</v>
      </c>
      <c r="E137" s="25" t="s">
        <v>148</v>
      </c>
      <c r="F137" s="27" t="s">
        <v>317</v>
      </c>
      <c r="G137" s="27" t="s">
        <v>317</v>
      </c>
      <c r="H137" s="27" t="s">
        <v>238</v>
      </c>
      <c r="I137" s="28" t="s">
        <v>227</v>
      </c>
      <c r="J137"/>
      <c r="K137"/>
    </row>
    <row r="138" spans="1:11" x14ac:dyDescent="0.25">
      <c r="A138" s="12">
        <v>136</v>
      </c>
      <c r="B138" s="5">
        <v>19</v>
      </c>
      <c r="C138" s="2" t="str">
        <f t="shared" si="2"/>
        <v>19-136</v>
      </c>
      <c r="D138" s="6" t="s">
        <v>123</v>
      </c>
      <c r="E138" s="25" t="s">
        <v>149</v>
      </c>
      <c r="F138" s="27" t="s">
        <v>295</v>
      </c>
      <c r="G138" s="27" t="s">
        <v>295</v>
      </c>
      <c r="H138" s="27" t="s">
        <v>295</v>
      </c>
      <c r="I138" s="28" t="s">
        <v>227</v>
      </c>
      <c r="J138"/>
      <c r="K138"/>
    </row>
    <row r="139" spans="1:11" x14ac:dyDescent="0.25">
      <c r="A139" s="12">
        <v>137</v>
      </c>
      <c r="B139" s="5">
        <v>19</v>
      </c>
      <c r="C139" s="2" t="str">
        <f t="shared" si="2"/>
        <v>19-137</v>
      </c>
      <c r="D139" s="6" t="s">
        <v>123</v>
      </c>
      <c r="E139" s="25" t="s">
        <v>150</v>
      </c>
      <c r="F139" s="27" t="s">
        <v>318</v>
      </c>
      <c r="G139" s="27" t="s">
        <v>318</v>
      </c>
      <c r="H139" s="27" t="s">
        <v>318</v>
      </c>
      <c r="I139" s="28" t="s">
        <v>227</v>
      </c>
      <c r="J139"/>
      <c r="K139"/>
    </row>
    <row r="140" spans="1:11" x14ac:dyDescent="0.25">
      <c r="A140" s="12">
        <v>138</v>
      </c>
      <c r="B140" s="5">
        <v>19</v>
      </c>
      <c r="C140" s="2" t="str">
        <f t="shared" si="2"/>
        <v>19-138</v>
      </c>
      <c r="D140" s="6" t="s">
        <v>123</v>
      </c>
      <c r="E140" s="25" t="s">
        <v>151</v>
      </c>
      <c r="F140" s="34">
        <v>1080000</v>
      </c>
      <c r="G140" s="34">
        <v>1080000</v>
      </c>
      <c r="H140" s="34" t="s">
        <v>238</v>
      </c>
      <c r="I140" s="35"/>
      <c r="J140"/>
      <c r="K140"/>
    </row>
    <row r="141" spans="1:11" x14ac:dyDescent="0.25">
      <c r="A141" s="12">
        <v>139</v>
      </c>
      <c r="B141" s="5">
        <v>19</v>
      </c>
      <c r="C141" s="2" t="str">
        <f t="shared" si="2"/>
        <v>19-139</v>
      </c>
      <c r="D141" s="6" t="s">
        <v>123</v>
      </c>
      <c r="E141" s="25" t="s">
        <v>152</v>
      </c>
      <c r="F141" s="34">
        <v>1080000</v>
      </c>
      <c r="G141" s="34">
        <v>1080000</v>
      </c>
      <c r="H141" s="34">
        <v>1080000</v>
      </c>
      <c r="I141" s="35"/>
      <c r="J141"/>
      <c r="K141"/>
    </row>
    <row r="142" spans="1:11" x14ac:dyDescent="0.25">
      <c r="A142" s="12">
        <v>140</v>
      </c>
      <c r="B142" s="5">
        <v>19</v>
      </c>
      <c r="C142" s="2" t="str">
        <f t="shared" si="2"/>
        <v>19-140</v>
      </c>
      <c r="D142" s="6" t="s">
        <v>123</v>
      </c>
      <c r="E142" s="25" t="s">
        <v>153</v>
      </c>
      <c r="F142" s="34">
        <v>1160000</v>
      </c>
      <c r="G142" s="34">
        <v>1160000</v>
      </c>
      <c r="H142" s="34">
        <v>1160000</v>
      </c>
      <c r="I142" s="35"/>
      <c r="J142"/>
      <c r="K142"/>
    </row>
    <row r="143" spans="1:11" x14ac:dyDescent="0.25">
      <c r="A143" s="12">
        <v>141</v>
      </c>
      <c r="B143" s="5">
        <v>19</v>
      </c>
      <c r="C143" s="2" t="str">
        <f t="shared" si="2"/>
        <v>19-141</v>
      </c>
      <c r="D143" s="6" t="s">
        <v>123</v>
      </c>
      <c r="E143" s="25" t="s">
        <v>154</v>
      </c>
      <c r="F143" s="34">
        <v>500000</v>
      </c>
      <c r="G143" s="34">
        <v>500000</v>
      </c>
      <c r="H143" s="34" t="s">
        <v>238</v>
      </c>
      <c r="I143" s="35"/>
      <c r="J143"/>
      <c r="K143"/>
    </row>
    <row r="144" spans="1:11" x14ac:dyDescent="0.25">
      <c r="A144" s="12">
        <v>142</v>
      </c>
      <c r="B144" s="5">
        <v>19</v>
      </c>
      <c r="C144" s="2" t="str">
        <f t="shared" si="2"/>
        <v>19-142</v>
      </c>
      <c r="D144" s="6" t="s">
        <v>123</v>
      </c>
      <c r="E144" s="25" t="s">
        <v>155</v>
      </c>
      <c r="F144" s="27" t="s">
        <v>319</v>
      </c>
      <c r="G144" s="27" t="s">
        <v>320</v>
      </c>
      <c r="H144" s="27" t="s">
        <v>238</v>
      </c>
      <c r="I144" s="28" t="s">
        <v>227</v>
      </c>
      <c r="J144"/>
      <c r="K144"/>
    </row>
    <row r="145" spans="1:11" x14ac:dyDescent="0.25">
      <c r="A145" s="12">
        <v>143</v>
      </c>
      <c r="B145" s="5">
        <v>19</v>
      </c>
      <c r="C145" s="2" t="str">
        <f t="shared" si="2"/>
        <v>19-143</v>
      </c>
      <c r="D145" s="6" t="s">
        <v>123</v>
      </c>
      <c r="E145" s="25" t="s">
        <v>156</v>
      </c>
      <c r="F145" s="27" t="s">
        <v>296</v>
      </c>
      <c r="G145" s="27" t="s">
        <v>321</v>
      </c>
      <c r="H145" s="27" t="s">
        <v>238</v>
      </c>
      <c r="I145" s="28" t="s">
        <v>227</v>
      </c>
      <c r="J145"/>
      <c r="K145"/>
    </row>
    <row r="146" spans="1:11" x14ac:dyDescent="0.25">
      <c r="A146" s="12">
        <v>144</v>
      </c>
      <c r="B146" s="5">
        <v>19</v>
      </c>
      <c r="C146" s="2" t="str">
        <f t="shared" si="2"/>
        <v>19-144</v>
      </c>
      <c r="D146" s="6" t="s">
        <v>123</v>
      </c>
      <c r="E146" s="25" t="s">
        <v>157</v>
      </c>
      <c r="F146" s="34">
        <v>1800000</v>
      </c>
      <c r="G146" s="34">
        <v>3900000</v>
      </c>
      <c r="H146" s="27" t="s">
        <v>238</v>
      </c>
      <c r="I146" s="28" t="s">
        <v>223</v>
      </c>
      <c r="J146"/>
      <c r="K146"/>
    </row>
    <row r="147" spans="1:11" x14ac:dyDescent="0.25">
      <c r="A147" s="12">
        <v>145</v>
      </c>
      <c r="B147" s="5">
        <v>19</v>
      </c>
      <c r="C147" s="2" t="str">
        <f t="shared" si="2"/>
        <v>19-145</v>
      </c>
      <c r="D147" s="6" t="s">
        <v>123</v>
      </c>
      <c r="E147" s="25" t="s">
        <v>158</v>
      </c>
      <c r="F147" s="27" t="s">
        <v>322</v>
      </c>
      <c r="G147" s="27" t="s">
        <v>272</v>
      </c>
      <c r="H147" s="27" t="s">
        <v>238</v>
      </c>
      <c r="I147" s="28" t="s">
        <v>227</v>
      </c>
      <c r="J147"/>
      <c r="K147"/>
    </row>
    <row r="148" spans="1:11" x14ac:dyDescent="0.25">
      <c r="A148" s="12">
        <v>146</v>
      </c>
      <c r="B148" s="5">
        <v>19</v>
      </c>
      <c r="C148" s="2" t="str">
        <f t="shared" si="2"/>
        <v>19-146</v>
      </c>
      <c r="D148" s="6" t="s">
        <v>123</v>
      </c>
      <c r="E148" s="25" t="s">
        <v>159</v>
      </c>
      <c r="F148" s="27" t="s">
        <v>323</v>
      </c>
      <c r="G148" s="27" t="s">
        <v>324</v>
      </c>
      <c r="H148" s="27" t="s">
        <v>238</v>
      </c>
      <c r="I148" s="28" t="s">
        <v>227</v>
      </c>
      <c r="J148"/>
      <c r="K148"/>
    </row>
    <row r="149" spans="1:11" x14ac:dyDescent="0.25">
      <c r="A149" s="12">
        <v>147</v>
      </c>
      <c r="B149" s="5">
        <v>19</v>
      </c>
      <c r="C149" s="2" t="str">
        <f t="shared" si="2"/>
        <v>19-147</v>
      </c>
      <c r="D149" s="6" t="s">
        <v>123</v>
      </c>
      <c r="E149" s="25" t="s">
        <v>160</v>
      </c>
      <c r="F149" s="34">
        <v>3900000</v>
      </c>
      <c r="G149" s="34">
        <v>3900000</v>
      </c>
      <c r="H149" s="34" t="s">
        <v>238</v>
      </c>
      <c r="I149" s="28" t="s">
        <v>227</v>
      </c>
      <c r="J149"/>
      <c r="K149"/>
    </row>
    <row r="150" spans="1:11" x14ac:dyDescent="0.25">
      <c r="A150" s="12">
        <v>148</v>
      </c>
      <c r="B150" s="5">
        <v>19</v>
      </c>
      <c r="C150" s="2" t="str">
        <f t="shared" si="2"/>
        <v>19-148</v>
      </c>
      <c r="D150" s="6" t="s">
        <v>123</v>
      </c>
      <c r="E150" s="25" t="s">
        <v>161</v>
      </c>
      <c r="F150" s="27" t="s">
        <v>323</v>
      </c>
      <c r="G150" s="27" t="s">
        <v>324</v>
      </c>
      <c r="H150" s="27" t="s">
        <v>238</v>
      </c>
      <c r="I150" s="28" t="s">
        <v>227</v>
      </c>
      <c r="J150"/>
      <c r="K150"/>
    </row>
    <row r="151" spans="1:11" x14ac:dyDescent="0.25">
      <c r="A151" s="12">
        <v>149</v>
      </c>
      <c r="B151" s="5">
        <v>19</v>
      </c>
      <c r="C151" s="2" t="str">
        <f t="shared" si="2"/>
        <v>19-149</v>
      </c>
      <c r="D151" s="6" t="s">
        <v>123</v>
      </c>
      <c r="E151" s="25" t="s">
        <v>162</v>
      </c>
      <c r="F151" s="34">
        <v>1450000</v>
      </c>
      <c r="G151" s="34">
        <v>2620000</v>
      </c>
      <c r="H151" s="34" t="s">
        <v>238</v>
      </c>
      <c r="I151" s="28" t="s">
        <v>227</v>
      </c>
      <c r="J151"/>
      <c r="K151"/>
    </row>
    <row r="152" spans="1:11" x14ac:dyDescent="0.25">
      <c r="A152" s="12">
        <v>150</v>
      </c>
      <c r="B152" s="5">
        <v>19</v>
      </c>
      <c r="C152" s="2" t="str">
        <f t="shared" si="2"/>
        <v>19-150</v>
      </c>
      <c r="D152" s="6" t="s">
        <v>123</v>
      </c>
      <c r="E152" s="25" t="s">
        <v>163</v>
      </c>
      <c r="F152" s="27" t="s">
        <v>296</v>
      </c>
      <c r="G152" s="27" t="s">
        <v>321</v>
      </c>
      <c r="H152" s="27" t="s">
        <v>238</v>
      </c>
      <c r="I152" s="28" t="s">
        <v>227</v>
      </c>
      <c r="J152"/>
      <c r="K152"/>
    </row>
    <row r="153" spans="1:11" x14ac:dyDescent="0.25">
      <c r="A153" s="12" t="s">
        <v>164</v>
      </c>
      <c r="B153" s="5">
        <v>19</v>
      </c>
      <c r="C153" s="21" t="str">
        <f t="shared" si="2"/>
        <v>19-151</v>
      </c>
      <c r="D153" s="6" t="s">
        <v>123</v>
      </c>
      <c r="E153" s="25" t="s">
        <v>165</v>
      </c>
      <c r="F153" s="27" t="s">
        <v>325</v>
      </c>
      <c r="G153" s="27" t="s">
        <v>325</v>
      </c>
      <c r="H153" s="27" t="s">
        <v>325</v>
      </c>
      <c r="I153" s="28" t="s">
        <v>227</v>
      </c>
      <c r="J153"/>
      <c r="K153"/>
    </row>
    <row r="154" spans="1:11" x14ac:dyDescent="0.25">
      <c r="A154" s="12">
        <v>111</v>
      </c>
      <c r="B154" s="5">
        <v>20</v>
      </c>
      <c r="C154" s="2" t="str">
        <f t="shared" si="2"/>
        <v>20-111</v>
      </c>
      <c r="D154" s="6" t="s">
        <v>166</v>
      </c>
      <c r="E154" s="25" t="s">
        <v>167</v>
      </c>
      <c r="F154" s="34">
        <v>30000</v>
      </c>
      <c r="G154" s="34">
        <v>110000</v>
      </c>
      <c r="H154" s="34" t="s">
        <v>238</v>
      </c>
      <c r="I154" s="28" t="s">
        <v>227</v>
      </c>
      <c r="J154"/>
      <c r="K154"/>
    </row>
    <row r="155" spans="1:11" x14ac:dyDescent="0.25">
      <c r="A155" s="12">
        <v>112</v>
      </c>
      <c r="B155" s="5">
        <v>20</v>
      </c>
      <c r="C155" s="2" t="str">
        <f t="shared" si="2"/>
        <v>20-112</v>
      </c>
      <c r="D155" s="6" t="s">
        <v>166</v>
      </c>
      <c r="E155" s="25" t="s">
        <v>168</v>
      </c>
      <c r="F155" s="34">
        <v>50000</v>
      </c>
      <c r="G155" s="34">
        <v>100000</v>
      </c>
      <c r="H155" s="34" t="s">
        <v>238</v>
      </c>
      <c r="I155" s="28" t="s">
        <v>227</v>
      </c>
      <c r="J155"/>
      <c r="K155"/>
    </row>
    <row r="156" spans="1:11" x14ac:dyDescent="0.25">
      <c r="A156" s="12">
        <v>113</v>
      </c>
      <c r="B156" s="5">
        <v>20</v>
      </c>
      <c r="C156" s="2" t="str">
        <f t="shared" si="2"/>
        <v>20-113</v>
      </c>
      <c r="D156" s="6" t="s">
        <v>166</v>
      </c>
      <c r="E156" s="25" t="s">
        <v>169</v>
      </c>
      <c r="F156" s="34">
        <v>25000</v>
      </c>
      <c r="G156" s="34">
        <v>500000</v>
      </c>
      <c r="H156" s="34" t="s">
        <v>238</v>
      </c>
      <c r="I156" s="28" t="s">
        <v>227</v>
      </c>
      <c r="J156"/>
      <c r="K156"/>
    </row>
    <row r="157" spans="1:11" x14ac:dyDescent="0.25">
      <c r="A157" s="12">
        <v>114</v>
      </c>
      <c r="B157" s="5">
        <v>20</v>
      </c>
      <c r="C157" s="2" t="str">
        <f t="shared" si="2"/>
        <v>20-114</v>
      </c>
      <c r="D157" s="6" t="s">
        <v>166</v>
      </c>
      <c r="E157" s="25" t="s">
        <v>170</v>
      </c>
      <c r="F157" s="34">
        <v>300000</v>
      </c>
      <c r="G157" s="34">
        <v>580000</v>
      </c>
      <c r="H157" s="34" t="s">
        <v>238</v>
      </c>
      <c r="I157" s="28" t="s">
        <v>227</v>
      </c>
      <c r="J157"/>
      <c r="K157"/>
    </row>
    <row r="158" spans="1:11" x14ac:dyDescent="0.25">
      <c r="A158" s="12">
        <v>115</v>
      </c>
      <c r="B158" s="5">
        <v>20</v>
      </c>
      <c r="C158" s="2" t="str">
        <f t="shared" si="2"/>
        <v>20-115</v>
      </c>
      <c r="D158" s="6" t="s">
        <v>166</v>
      </c>
      <c r="E158" s="25" t="s">
        <v>171</v>
      </c>
      <c r="F158" s="34">
        <v>40000</v>
      </c>
      <c r="G158" s="34">
        <v>80000</v>
      </c>
      <c r="H158" s="34" t="s">
        <v>238</v>
      </c>
      <c r="I158" s="35" t="s">
        <v>360</v>
      </c>
      <c r="J158"/>
      <c r="K158"/>
    </row>
    <row r="159" spans="1:11" x14ac:dyDescent="0.25">
      <c r="A159" s="12">
        <v>111</v>
      </c>
      <c r="B159" s="5">
        <v>21</v>
      </c>
      <c r="C159" s="2" t="str">
        <f t="shared" si="2"/>
        <v>21-111</v>
      </c>
      <c r="D159" s="6" t="s">
        <v>172</v>
      </c>
      <c r="E159" s="25" t="s">
        <v>173</v>
      </c>
      <c r="F159" s="34">
        <v>1400000</v>
      </c>
      <c r="G159" s="34">
        <v>1400000</v>
      </c>
      <c r="H159" s="34" t="s">
        <v>238</v>
      </c>
      <c r="I159" s="35" t="s">
        <v>359</v>
      </c>
      <c r="J159"/>
      <c r="K159"/>
    </row>
    <row r="160" spans="1:11" x14ac:dyDescent="0.25">
      <c r="A160" s="12">
        <v>112</v>
      </c>
      <c r="B160" s="5">
        <v>21</v>
      </c>
      <c r="C160" s="2" t="str">
        <f t="shared" si="2"/>
        <v>21-112</v>
      </c>
      <c r="D160" s="6" t="s">
        <v>172</v>
      </c>
      <c r="E160" s="25" t="s">
        <v>174</v>
      </c>
      <c r="F160" s="34">
        <v>1400000</v>
      </c>
      <c r="G160" s="34">
        <v>1400000</v>
      </c>
      <c r="H160" s="34" t="s">
        <v>238</v>
      </c>
      <c r="I160" s="35" t="s">
        <v>359</v>
      </c>
      <c r="J160"/>
      <c r="K160"/>
    </row>
    <row r="161" spans="1:11" x14ac:dyDescent="0.25">
      <c r="A161" s="12">
        <v>113</v>
      </c>
      <c r="B161" s="5">
        <v>21</v>
      </c>
      <c r="C161" s="2" t="str">
        <f t="shared" si="2"/>
        <v>21-113</v>
      </c>
      <c r="D161" s="6" t="s">
        <v>172</v>
      </c>
      <c r="E161" s="25" t="s">
        <v>175</v>
      </c>
      <c r="F161" s="34">
        <v>910000</v>
      </c>
      <c r="G161" s="34">
        <v>910000</v>
      </c>
      <c r="H161" s="34" t="s">
        <v>238</v>
      </c>
      <c r="I161" s="28" t="s">
        <v>227</v>
      </c>
      <c r="J161"/>
      <c r="K161"/>
    </row>
    <row r="162" spans="1:11" x14ac:dyDescent="0.25">
      <c r="A162" s="12">
        <v>114</v>
      </c>
      <c r="B162" s="5">
        <v>21</v>
      </c>
      <c r="C162" s="2" t="str">
        <f t="shared" si="2"/>
        <v>21-114</v>
      </c>
      <c r="D162" s="6" t="s">
        <v>172</v>
      </c>
      <c r="E162" s="25" t="s">
        <v>176</v>
      </c>
      <c r="F162" s="34">
        <v>20000</v>
      </c>
      <c r="G162" s="34">
        <v>60000</v>
      </c>
      <c r="H162" s="34" t="s">
        <v>238</v>
      </c>
      <c r="I162" s="35" t="s">
        <v>358</v>
      </c>
      <c r="J162"/>
      <c r="K162"/>
    </row>
    <row r="163" spans="1:11" x14ac:dyDescent="0.25">
      <c r="A163" s="12">
        <v>115</v>
      </c>
      <c r="B163" s="5">
        <v>21</v>
      </c>
      <c r="C163" s="2" t="str">
        <f t="shared" si="2"/>
        <v>21-115</v>
      </c>
      <c r="D163" s="6" t="s">
        <v>172</v>
      </c>
      <c r="E163" s="25" t="s">
        <v>177</v>
      </c>
      <c r="F163" s="34">
        <v>30000</v>
      </c>
      <c r="G163" s="34">
        <v>30000</v>
      </c>
      <c r="H163" s="34" t="s">
        <v>238</v>
      </c>
      <c r="I163" s="33" t="s">
        <v>357</v>
      </c>
      <c r="J163"/>
      <c r="K163"/>
    </row>
    <row r="164" spans="1:11" x14ac:dyDescent="0.25">
      <c r="A164" s="12">
        <v>116</v>
      </c>
      <c r="B164" s="5">
        <v>21</v>
      </c>
      <c r="C164" s="2" t="str">
        <f t="shared" si="2"/>
        <v>21-116</v>
      </c>
      <c r="D164" s="6" t="s">
        <v>172</v>
      </c>
      <c r="E164" s="25" t="s">
        <v>178</v>
      </c>
      <c r="F164" s="34">
        <v>30000</v>
      </c>
      <c r="G164" s="34">
        <v>30000</v>
      </c>
      <c r="H164" s="34" t="s">
        <v>238</v>
      </c>
      <c r="I164" s="33" t="s">
        <v>357</v>
      </c>
      <c r="J164"/>
      <c r="K164"/>
    </row>
    <row r="165" spans="1:11" x14ac:dyDescent="0.25">
      <c r="A165" s="12">
        <v>117</v>
      </c>
      <c r="B165" s="5">
        <v>21</v>
      </c>
      <c r="C165" s="2" t="str">
        <f t="shared" si="2"/>
        <v>21-117</v>
      </c>
      <c r="D165" s="6" t="s">
        <v>172</v>
      </c>
      <c r="E165" s="25" t="s">
        <v>179</v>
      </c>
      <c r="F165" s="34">
        <v>580000</v>
      </c>
      <c r="G165" s="34">
        <v>1550000</v>
      </c>
      <c r="H165" s="27" t="s">
        <v>238</v>
      </c>
      <c r="I165" s="33" t="s">
        <v>357</v>
      </c>
      <c r="J165"/>
      <c r="K165"/>
    </row>
    <row r="166" spans="1:11" x14ac:dyDescent="0.25">
      <c r="A166" s="12">
        <v>118</v>
      </c>
      <c r="B166" s="5">
        <v>21</v>
      </c>
      <c r="C166" s="2" t="str">
        <f t="shared" si="2"/>
        <v>21-118</v>
      </c>
      <c r="D166" s="6" t="s">
        <v>172</v>
      </c>
      <c r="E166" s="25" t="s">
        <v>180</v>
      </c>
      <c r="F166" s="27" t="s">
        <v>326</v>
      </c>
      <c r="G166" s="27" t="s">
        <v>327</v>
      </c>
      <c r="H166" s="27" t="s">
        <v>238</v>
      </c>
      <c r="I166" s="28" t="s">
        <v>227</v>
      </c>
      <c r="J166"/>
      <c r="K166"/>
    </row>
    <row r="167" spans="1:11" x14ac:dyDescent="0.25">
      <c r="A167" s="12">
        <v>119</v>
      </c>
      <c r="B167" s="5">
        <v>21</v>
      </c>
      <c r="C167" s="2" t="str">
        <f t="shared" si="2"/>
        <v>21-119</v>
      </c>
      <c r="D167" s="6" t="s">
        <v>172</v>
      </c>
      <c r="E167" s="25" t="s">
        <v>181</v>
      </c>
      <c r="F167" s="27" t="s">
        <v>328</v>
      </c>
      <c r="G167" s="27" t="s">
        <v>329</v>
      </c>
      <c r="H167" s="27" t="s">
        <v>238</v>
      </c>
      <c r="I167" s="28" t="s">
        <v>227</v>
      </c>
      <c r="J167"/>
      <c r="K167"/>
    </row>
    <row r="168" spans="1:11" x14ac:dyDescent="0.25">
      <c r="A168" s="12">
        <v>120</v>
      </c>
      <c r="B168" s="5">
        <v>21</v>
      </c>
      <c r="C168" s="2" t="str">
        <f t="shared" si="2"/>
        <v>21-120</v>
      </c>
      <c r="D168" s="6" t="s">
        <v>172</v>
      </c>
      <c r="E168" s="25" t="s">
        <v>182</v>
      </c>
      <c r="F168" s="27" t="s">
        <v>326</v>
      </c>
      <c r="G168" s="27" t="s">
        <v>296</v>
      </c>
      <c r="H168" s="27" t="s">
        <v>238</v>
      </c>
      <c r="I168" s="28" t="s">
        <v>227</v>
      </c>
      <c r="J168"/>
      <c r="K168"/>
    </row>
    <row r="169" spans="1:11" x14ac:dyDescent="0.25">
      <c r="A169" s="12">
        <v>121</v>
      </c>
      <c r="B169" s="5">
        <v>21</v>
      </c>
      <c r="C169" s="2" t="str">
        <f t="shared" si="2"/>
        <v>21-121</v>
      </c>
      <c r="D169" s="6" t="s">
        <v>172</v>
      </c>
      <c r="E169" s="25" t="s">
        <v>183</v>
      </c>
      <c r="F169" s="27" t="s">
        <v>330</v>
      </c>
      <c r="G169" s="27" t="s">
        <v>331</v>
      </c>
      <c r="H169" s="27" t="s">
        <v>238</v>
      </c>
      <c r="I169" s="28" t="s">
        <v>227</v>
      </c>
      <c r="J169"/>
      <c r="K169"/>
    </row>
    <row r="170" spans="1:11" x14ac:dyDescent="0.25">
      <c r="A170" s="12">
        <v>122</v>
      </c>
      <c r="B170" s="5">
        <v>21</v>
      </c>
      <c r="C170" s="2" t="str">
        <f t="shared" si="2"/>
        <v>21-122</v>
      </c>
      <c r="D170" s="6" t="s">
        <v>172</v>
      </c>
      <c r="E170" s="25" t="s">
        <v>184</v>
      </c>
      <c r="F170" s="27" t="s">
        <v>332</v>
      </c>
      <c r="G170" s="27" t="s">
        <v>332</v>
      </c>
      <c r="H170" s="27" t="s">
        <v>238</v>
      </c>
      <c r="I170" s="33" t="s">
        <v>230</v>
      </c>
      <c r="J170"/>
      <c r="K170"/>
    </row>
    <row r="171" spans="1:11" x14ac:dyDescent="0.25">
      <c r="A171" s="12">
        <v>123</v>
      </c>
      <c r="B171" s="5">
        <v>21</v>
      </c>
      <c r="C171" s="2" t="str">
        <f t="shared" si="2"/>
        <v>21-123</v>
      </c>
      <c r="D171" s="6" t="s">
        <v>172</v>
      </c>
      <c r="E171" s="25" t="s">
        <v>185</v>
      </c>
      <c r="F171" s="27" t="s">
        <v>288</v>
      </c>
      <c r="G171" s="27" t="s">
        <v>333</v>
      </c>
      <c r="H171" s="27" t="s">
        <v>238</v>
      </c>
      <c r="I171" s="28" t="s">
        <v>227</v>
      </c>
      <c r="J171"/>
      <c r="K171"/>
    </row>
    <row r="172" spans="1:11" x14ac:dyDescent="0.25">
      <c r="A172" s="12">
        <v>124</v>
      </c>
      <c r="B172" s="5">
        <v>21</v>
      </c>
      <c r="C172" s="2" t="str">
        <f t="shared" si="2"/>
        <v>21-124</v>
      </c>
      <c r="D172" s="6" t="s">
        <v>172</v>
      </c>
      <c r="E172" s="25" t="s">
        <v>186</v>
      </c>
      <c r="F172" s="27" t="s">
        <v>334</v>
      </c>
      <c r="G172" s="27" t="s">
        <v>335</v>
      </c>
      <c r="H172" s="27" t="s">
        <v>238</v>
      </c>
      <c r="I172" s="28" t="s">
        <v>227</v>
      </c>
      <c r="J172"/>
      <c r="K172"/>
    </row>
    <row r="173" spans="1:11" x14ac:dyDescent="0.25">
      <c r="A173" s="12">
        <v>111</v>
      </c>
      <c r="B173" s="5">
        <v>22</v>
      </c>
      <c r="C173" s="2" t="str">
        <f t="shared" si="2"/>
        <v>22-111</v>
      </c>
      <c r="D173" s="6" t="s">
        <v>187</v>
      </c>
      <c r="E173" s="25" t="s">
        <v>188</v>
      </c>
      <c r="F173" s="27" t="s">
        <v>336</v>
      </c>
      <c r="G173" s="27" t="s">
        <v>337</v>
      </c>
      <c r="H173" s="27" t="s">
        <v>238</v>
      </c>
      <c r="I173" s="28" t="s">
        <v>227</v>
      </c>
      <c r="J173"/>
      <c r="K173"/>
    </row>
    <row r="174" spans="1:11" x14ac:dyDescent="0.25">
      <c r="A174" s="12">
        <v>112</v>
      </c>
      <c r="B174" s="5">
        <v>22</v>
      </c>
      <c r="C174" s="2" t="str">
        <f t="shared" si="2"/>
        <v>22-112</v>
      </c>
      <c r="D174" s="6" t="s">
        <v>187</v>
      </c>
      <c r="E174" s="25" t="s">
        <v>189</v>
      </c>
      <c r="F174" s="34">
        <v>950000</v>
      </c>
      <c r="G174" s="34">
        <v>4500000</v>
      </c>
      <c r="H174" s="34" t="s">
        <v>238</v>
      </c>
      <c r="I174" s="28" t="s">
        <v>227</v>
      </c>
      <c r="J174"/>
      <c r="K174"/>
    </row>
    <row r="175" spans="1:11" x14ac:dyDescent="0.25">
      <c r="A175" s="12">
        <v>113</v>
      </c>
      <c r="B175" s="5">
        <v>22</v>
      </c>
      <c r="C175" s="2" t="str">
        <f t="shared" si="2"/>
        <v>22-113</v>
      </c>
      <c r="D175" s="6" t="s">
        <v>187</v>
      </c>
      <c r="E175" s="25" t="s">
        <v>190</v>
      </c>
      <c r="F175" s="27" t="s">
        <v>338</v>
      </c>
      <c r="G175" s="27" t="s">
        <v>338</v>
      </c>
      <c r="H175" s="27" t="s">
        <v>338</v>
      </c>
      <c r="I175" s="28" t="s">
        <v>227</v>
      </c>
      <c r="J175"/>
      <c r="K175"/>
    </row>
    <row r="176" spans="1:11" x14ac:dyDescent="0.25">
      <c r="A176" s="12">
        <v>114</v>
      </c>
      <c r="B176" s="5">
        <v>22</v>
      </c>
      <c r="C176" s="2" t="str">
        <f t="shared" si="2"/>
        <v>22-114</v>
      </c>
      <c r="D176" s="6" t="s">
        <v>187</v>
      </c>
      <c r="E176" s="25" t="s">
        <v>191</v>
      </c>
      <c r="F176" s="27" t="s">
        <v>339</v>
      </c>
      <c r="G176" s="27" t="s">
        <v>339</v>
      </c>
      <c r="H176" s="27" t="s">
        <v>339</v>
      </c>
      <c r="I176" s="28" t="s">
        <v>227</v>
      </c>
      <c r="J176"/>
      <c r="K176"/>
    </row>
    <row r="177" spans="1:11" x14ac:dyDescent="0.25">
      <c r="A177" s="12">
        <v>115</v>
      </c>
      <c r="B177" s="5">
        <v>22</v>
      </c>
      <c r="C177" s="2" t="str">
        <f t="shared" si="2"/>
        <v>22-115</v>
      </c>
      <c r="D177" s="6" t="s">
        <v>187</v>
      </c>
      <c r="E177" s="25" t="s">
        <v>192</v>
      </c>
      <c r="F177" s="27" t="s">
        <v>308</v>
      </c>
      <c r="G177" s="27" t="s">
        <v>308</v>
      </c>
      <c r="H177" s="27" t="s">
        <v>308</v>
      </c>
      <c r="I177" s="28" t="s">
        <v>227</v>
      </c>
      <c r="J177"/>
      <c r="K177"/>
    </row>
    <row r="178" spans="1:11" x14ac:dyDescent="0.25">
      <c r="A178" s="12">
        <v>116</v>
      </c>
      <c r="B178" s="5">
        <v>22</v>
      </c>
      <c r="C178" s="2" t="str">
        <f t="shared" si="2"/>
        <v>22-116</v>
      </c>
      <c r="D178" s="6" t="s">
        <v>187</v>
      </c>
      <c r="E178" s="25" t="s">
        <v>193</v>
      </c>
      <c r="F178" s="27" t="s">
        <v>340</v>
      </c>
      <c r="G178" s="27" t="s">
        <v>340</v>
      </c>
      <c r="H178" s="27" t="s">
        <v>340</v>
      </c>
      <c r="I178" s="28" t="s">
        <v>231</v>
      </c>
      <c r="J178"/>
      <c r="K178"/>
    </row>
    <row r="179" spans="1:11" x14ac:dyDescent="0.25">
      <c r="A179" s="12">
        <v>117</v>
      </c>
      <c r="B179" s="5">
        <v>22</v>
      </c>
      <c r="C179" s="2" t="str">
        <f t="shared" si="2"/>
        <v>22-117</v>
      </c>
      <c r="D179" s="6" t="s">
        <v>187</v>
      </c>
      <c r="E179" s="25" t="s">
        <v>194</v>
      </c>
      <c r="F179" s="27" t="s">
        <v>341</v>
      </c>
      <c r="G179" s="27" t="s">
        <v>342</v>
      </c>
      <c r="H179" s="27" t="s">
        <v>238</v>
      </c>
      <c r="I179" s="28" t="s">
        <v>228</v>
      </c>
      <c r="J179"/>
      <c r="K179"/>
    </row>
    <row r="180" spans="1:11" x14ac:dyDescent="0.25">
      <c r="A180" s="12">
        <v>118</v>
      </c>
      <c r="B180" s="5">
        <v>22</v>
      </c>
      <c r="C180" s="2" t="str">
        <f t="shared" si="2"/>
        <v>22-118</v>
      </c>
      <c r="D180" s="6" t="s">
        <v>187</v>
      </c>
      <c r="E180" s="25" t="s">
        <v>195</v>
      </c>
      <c r="F180" s="27" t="s">
        <v>343</v>
      </c>
      <c r="G180" s="27" t="s">
        <v>343</v>
      </c>
      <c r="H180" s="27" t="s">
        <v>238</v>
      </c>
      <c r="I180" s="28" t="s">
        <v>228</v>
      </c>
      <c r="J180"/>
      <c r="K180"/>
    </row>
    <row r="181" spans="1:11" x14ac:dyDescent="0.25">
      <c r="A181" s="12">
        <v>119</v>
      </c>
      <c r="B181" s="5">
        <v>22</v>
      </c>
      <c r="C181" s="2" t="str">
        <f t="shared" si="2"/>
        <v>22-119</v>
      </c>
      <c r="D181" s="6" t="s">
        <v>187</v>
      </c>
      <c r="E181" s="25" t="s">
        <v>196</v>
      </c>
      <c r="F181" s="34">
        <v>6550000</v>
      </c>
      <c r="G181" s="34">
        <v>6550000</v>
      </c>
      <c r="H181" s="34" t="s">
        <v>238</v>
      </c>
      <c r="I181" s="28" t="s">
        <v>227</v>
      </c>
      <c r="J181"/>
      <c r="K181"/>
    </row>
    <row r="182" spans="1:11" x14ac:dyDescent="0.25">
      <c r="A182" s="12">
        <v>120</v>
      </c>
      <c r="B182" s="5">
        <v>22</v>
      </c>
      <c r="C182" s="2" t="str">
        <f t="shared" si="2"/>
        <v>22-120</v>
      </c>
      <c r="D182" s="6" t="s">
        <v>187</v>
      </c>
      <c r="E182" s="25" t="s">
        <v>197</v>
      </c>
      <c r="F182" s="34">
        <v>480000</v>
      </c>
      <c r="G182" s="34">
        <v>480000</v>
      </c>
      <c r="H182" s="34" t="s">
        <v>238</v>
      </c>
      <c r="I182" s="28" t="s">
        <v>227</v>
      </c>
      <c r="J182"/>
      <c r="K182"/>
    </row>
    <row r="183" spans="1:11" x14ac:dyDescent="0.25">
      <c r="A183" s="12">
        <v>121</v>
      </c>
      <c r="B183" s="5">
        <v>22</v>
      </c>
      <c r="C183" s="2" t="str">
        <f t="shared" si="2"/>
        <v>22-121</v>
      </c>
      <c r="D183" s="6" t="s">
        <v>187</v>
      </c>
      <c r="E183" s="25" t="s">
        <v>198</v>
      </c>
      <c r="F183" s="34">
        <v>2520000</v>
      </c>
      <c r="G183" s="34">
        <v>2520000</v>
      </c>
      <c r="H183" s="34" t="s">
        <v>238</v>
      </c>
      <c r="I183" s="28" t="s">
        <v>356</v>
      </c>
      <c r="J183"/>
      <c r="K183"/>
    </row>
    <row r="184" spans="1:11" x14ac:dyDescent="0.25">
      <c r="A184" s="12">
        <v>122</v>
      </c>
      <c r="B184" s="5">
        <v>22</v>
      </c>
      <c r="C184" s="2" t="str">
        <f t="shared" si="2"/>
        <v>22-122</v>
      </c>
      <c r="D184" s="6" t="s">
        <v>187</v>
      </c>
      <c r="E184" s="25" t="s">
        <v>199</v>
      </c>
      <c r="F184" s="34">
        <v>1760000</v>
      </c>
      <c r="G184" s="34">
        <v>1760000</v>
      </c>
      <c r="H184" s="34" t="s">
        <v>238</v>
      </c>
      <c r="I184" s="28" t="s">
        <v>355</v>
      </c>
      <c r="J184"/>
      <c r="K184"/>
    </row>
    <row r="185" spans="1:11" x14ac:dyDescent="0.25">
      <c r="A185" s="12">
        <v>123</v>
      </c>
      <c r="B185" s="5">
        <v>22</v>
      </c>
      <c r="C185" s="2" t="str">
        <f t="shared" si="2"/>
        <v>22-123</v>
      </c>
      <c r="D185" s="6" t="s">
        <v>187</v>
      </c>
      <c r="E185" s="25" t="s">
        <v>200</v>
      </c>
      <c r="F185" s="34">
        <v>1760000</v>
      </c>
      <c r="G185" s="34">
        <v>1760000</v>
      </c>
      <c r="H185" s="34" t="s">
        <v>238</v>
      </c>
      <c r="I185" s="28" t="s">
        <v>355</v>
      </c>
      <c r="J185"/>
      <c r="K185"/>
    </row>
    <row r="186" spans="1:11" x14ac:dyDescent="0.25">
      <c r="A186" s="12">
        <v>124</v>
      </c>
      <c r="B186" s="5">
        <v>22</v>
      </c>
      <c r="C186" s="2" t="str">
        <f t="shared" si="2"/>
        <v>22-124</v>
      </c>
      <c r="D186" s="6" t="s">
        <v>187</v>
      </c>
      <c r="E186" s="25" t="s">
        <v>201</v>
      </c>
      <c r="F186" s="34">
        <v>1040000</v>
      </c>
      <c r="G186" s="34">
        <v>1040000</v>
      </c>
      <c r="H186" s="34">
        <v>1040000</v>
      </c>
      <c r="I186" s="28" t="s">
        <v>354</v>
      </c>
      <c r="J186"/>
      <c r="K186"/>
    </row>
    <row r="187" spans="1:11" x14ac:dyDescent="0.25">
      <c r="A187" s="12">
        <v>125</v>
      </c>
      <c r="B187" s="5">
        <v>22</v>
      </c>
      <c r="C187" s="2" t="str">
        <f t="shared" si="2"/>
        <v>22-125</v>
      </c>
      <c r="D187" s="6" t="s">
        <v>187</v>
      </c>
      <c r="E187" s="25" t="s">
        <v>202</v>
      </c>
      <c r="F187" s="27" t="s">
        <v>307</v>
      </c>
      <c r="G187" s="27" t="s">
        <v>299</v>
      </c>
      <c r="H187" s="27" t="s">
        <v>238</v>
      </c>
      <c r="I187" s="28" t="s">
        <v>227</v>
      </c>
      <c r="J187"/>
      <c r="K187"/>
    </row>
    <row r="188" spans="1:11" x14ac:dyDescent="0.25">
      <c r="A188" s="12">
        <v>126</v>
      </c>
      <c r="B188" s="5">
        <v>22</v>
      </c>
      <c r="C188" s="2" t="str">
        <f t="shared" si="2"/>
        <v>22-126</v>
      </c>
      <c r="D188" s="6" t="s">
        <v>187</v>
      </c>
      <c r="E188" s="25" t="s">
        <v>203</v>
      </c>
      <c r="F188" s="27" t="s">
        <v>334</v>
      </c>
      <c r="G188" s="27" t="s">
        <v>335</v>
      </c>
      <c r="H188" s="27" t="s">
        <v>238</v>
      </c>
      <c r="I188" s="28" t="s">
        <v>227</v>
      </c>
      <c r="J188"/>
      <c r="K188"/>
    </row>
    <row r="189" spans="1:11" x14ac:dyDescent="0.25">
      <c r="A189" s="12">
        <v>127</v>
      </c>
      <c r="B189" s="5">
        <v>22</v>
      </c>
      <c r="C189" s="2" t="str">
        <f t="shared" si="2"/>
        <v>22-127</v>
      </c>
      <c r="D189" s="6" t="s">
        <v>187</v>
      </c>
      <c r="E189" s="25" t="s">
        <v>204</v>
      </c>
      <c r="F189" s="34">
        <v>2200000</v>
      </c>
      <c r="G189" s="34">
        <v>2200000</v>
      </c>
      <c r="H189" s="27" t="s">
        <v>238</v>
      </c>
      <c r="I189" s="28" t="s">
        <v>219</v>
      </c>
      <c r="J189"/>
      <c r="K189"/>
    </row>
    <row r="190" spans="1:11" x14ac:dyDescent="0.25">
      <c r="A190" s="12">
        <v>111</v>
      </c>
      <c r="B190" s="5">
        <v>99</v>
      </c>
      <c r="C190" s="2" t="str">
        <f t="shared" si="2"/>
        <v>99-111</v>
      </c>
      <c r="D190" s="6" t="s">
        <v>205</v>
      </c>
      <c r="E190" s="25" t="s">
        <v>206</v>
      </c>
      <c r="F190" s="27" t="s">
        <v>344</v>
      </c>
      <c r="G190" s="27" t="s">
        <v>345</v>
      </c>
      <c r="H190" s="27" t="s">
        <v>238</v>
      </c>
      <c r="I190" s="28" t="s">
        <v>227</v>
      </c>
      <c r="J190"/>
      <c r="K190"/>
    </row>
    <row r="191" spans="1:11" x14ac:dyDescent="0.25">
      <c r="A191" s="12">
        <v>112</v>
      </c>
      <c r="B191" s="5">
        <v>99</v>
      </c>
      <c r="C191" s="2" t="str">
        <f t="shared" si="2"/>
        <v>99-112</v>
      </c>
      <c r="D191" s="6" t="s">
        <v>205</v>
      </c>
      <c r="E191" s="25" t="s">
        <v>207</v>
      </c>
      <c r="F191" s="27" t="s">
        <v>346</v>
      </c>
      <c r="G191" s="27" t="s">
        <v>347</v>
      </c>
      <c r="H191" s="27" t="s">
        <v>238</v>
      </c>
      <c r="I191" s="28" t="s">
        <v>232</v>
      </c>
      <c r="J191"/>
      <c r="K191"/>
    </row>
    <row r="192" spans="1:11" x14ac:dyDescent="0.25">
      <c r="A192" s="12">
        <v>113</v>
      </c>
      <c r="B192" s="5">
        <v>99</v>
      </c>
      <c r="C192" s="2" t="str">
        <f t="shared" si="2"/>
        <v>99-113</v>
      </c>
      <c r="D192" s="6" t="s">
        <v>205</v>
      </c>
      <c r="E192" s="25" t="s">
        <v>208</v>
      </c>
      <c r="F192" s="27" t="s">
        <v>293</v>
      </c>
      <c r="G192" s="27" t="s">
        <v>348</v>
      </c>
      <c r="H192" s="27" t="s">
        <v>238</v>
      </c>
      <c r="I192" s="28" t="s">
        <v>227</v>
      </c>
      <c r="J192"/>
      <c r="K192"/>
    </row>
    <row r="193" spans="1:11" x14ac:dyDescent="0.25">
      <c r="A193" s="12">
        <v>114</v>
      </c>
      <c r="B193" s="5">
        <v>99</v>
      </c>
      <c r="C193" s="2" t="str">
        <f t="shared" si="2"/>
        <v>99-114</v>
      </c>
      <c r="D193" s="6" t="s">
        <v>205</v>
      </c>
      <c r="E193" s="25" t="s">
        <v>209</v>
      </c>
      <c r="F193" s="27" t="s">
        <v>349</v>
      </c>
      <c r="G193" s="27" t="s">
        <v>349</v>
      </c>
      <c r="H193" s="27" t="s">
        <v>238</v>
      </c>
      <c r="I193" s="28" t="s">
        <v>233</v>
      </c>
      <c r="J193"/>
      <c r="K193"/>
    </row>
    <row r="194" spans="1:11" x14ac:dyDescent="0.25">
      <c r="A194" s="12">
        <v>115</v>
      </c>
      <c r="B194" s="5">
        <v>99</v>
      </c>
      <c r="C194" s="2" t="str">
        <f t="shared" ref="C194:C196" si="3">CONCATENATE(B194, "-", A194)</f>
        <v>99-115</v>
      </c>
      <c r="D194" s="6" t="s">
        <v>205</v>
      </c>
      <c r="E194" s="25" t="s">
        <v>210</v>
      </c>
      <c r="F194" s="27">
        <v>420000</v>
      </c>
      <c r="G194" s="27">
        <v>3200000</v>
      </c>
      <c r="H194" s="27" t="s">
        <v>238</v>
      </c>
      <c r="I194" s="28" t="s">
        <v>227</v>
      </c>
      <c r="J194"/>
      <c r="K194"/>
    </row>
    <row r="195" spans="1:11" x14ac:dyDescent="0.25">
      <c r="A195" s="12">
        <v>116</v>
      </c>
      <c r="B195" s="5">
        <v>99</v>
      </c>
      <c r="C195" s="2" t="str">
        <f t="shared" si="3"/>
        <v>99-116</v>
      </c>
      <c r="D195" s="6" t="s">
        <v>205</v>
      </c>
      <c r="E195" s="25" t="s">
        <v>211</v>
      </c>
      <c r="F195" s="34">
        <v>1220000</v>
      </c>
      <c r="G195" s="34">
        <v>1650000</v>
      </c>
      <c r="H195" s="27" t="s">
        <v>238</v>
      </c>
      <c r="I195" s="28" t="s">
        <v>227</v>
      </c>
      <c r="J195"/>
      <c r="K195"/>
    </row>
    <row r="196" spans="1:11" x14ac:dyDescent="0.25">
      <c r="A196" s="13" t="s">
        <v>212</v>
      </c>
      <c r="B196" s="5">
        <v>99</v>
      </c>
      <c r="C196" s="2" t="str">
        <f t="shared" si="3"/>
        <v>99-117</v>
      </c>
      <c r="D196" s="6" t="s">
        <v>205</v>
      </c>
      <c r="E196" s="37" t="s">
        <v>361</v>
      </c>
      <c r="F196" s="27" t="s">
        <v>350</v>
      </c>
      <c r="G196" s="27" t="s">
        <v>351</v>
      </c>
      <c r="H196" s="27" t="s">
        <v>238</v>
      </c>
      <c r="I196" s="28" t="s">
        <v>227</v>
      </c>
      <c r="J196"/>
      <c r="K196"/>
    </row>
  </sheetData>
  <hyperlinks>
    <hyperlink ref="I6" r:id="rId1" xr:uid="{00000000-0004-0000-0000-000000000000}"/>
    <hyperlink ref="I56" r:id="rId2" xr:uid="{00000000-0004-0000-0000-000001000000}"/>
    <hyperlink ref="I58" r:id="rId3" xr:uid="{00000000-0004-0000-0000-000002000000}"/>
    <hyperlink ref="I170" r:id="rId4" xr:uid="{00000000-0004-0000-0000-000003000000}"/>
    <hyperlink ref="I165" r:id="rId5" xr:uid="{00000000-0004-0000-0000-000004000000}"/>
    <hyperlink ref="I164" r:id="rId6" xr:uid="{00000000-0004-0000-0000-000005000000}"/>
    <hyperlink ref="I163" r:id="rId7" xr:uid="{00000000-0004-0000-0000-000006000000}"/>
    <hyperlink ref="J5" r:id="rId8" xr:uid="{3DF2CF18-9C3C-4299-BB17-21BD023A3895}"/>
    <hyperlink ref="J23" r:id="rId9" xr:uid="{E5CA60C9-DC98-4A5B-8107-ACB1234EDB60}"/>
    <hyperlink ref="J22" r:id="rId10" xr:uid="{3ED17E07-E1B7-4BCC-9DAA-F5BCD06500D1}"/>
    <hyperlink ref="J8" r:id="rId11" xr:uid="{3318C205-FB3D-48FE-8AA5-AB57B4FCF6B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2025-08-10T09:25:39Z</dcterms:modified>
</cp:coreProperties>
</file>